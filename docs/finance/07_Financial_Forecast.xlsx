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0457f6f34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b9a323530540d6"/>
    <x:sheet xmlns:r="http://schemas.openxmlformats.org/officeDocument/2006/relationships" name="Assumptions" sheetId="2" r:id="R32a1320b027248d8"/>
    <x:sheet xmlns:r="http://schemas.openxmlformats.org/officeDocument/2006/relationships" name="Client Scenarios" sheetId="3" r:id="Raf0df6235d7647bd"/>
    <x:sheet xmlns:r="http://schemas.openxmlformats.org/officeDocument/2006/relationships" name="12M Forecast" sheetId="4" r:id="Rffd0f8f8856c4960"/>
    <x:sheet xmlns:r="http://schemas.openxmlformats.org/officeDocument/2006/relationships" name="Sensitivity" sheetId="5" r:id="R74638422f9c14621"/>
    <x:sheet xmlns:r="http://schemas.openxmlformats.org/officeDocument/2006/relationships" name="Checks" sheetId="6" r:id="R5e5e4682d48b4660"/>
    <x:sheet xmlns:r="http://schemas.openxmlformats.org/officeDocument/2006/relationships" name="Sources" sheetId="7" r:id="R9df697ddcb1f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€#,##0.00;[Red](€#,##0.00);-"/>
    <x:numFmt numFmtId="201" formatCode="0.0%"/>
    <x:numFmt numFmtId="202" formatCode="#,##0;[Red](#,##0);-"/>
    <x:numFmt numFmtId="203" formatCode="€#,##0;[Red](€#,##0);-"/>
    <x:numFmt numFmtId="204" formatCode="yyyy-mm-dd"/>
    <x:numFmt numFmtId="205" formatCode="0.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4E78"/>
      <x:name val="Carlito"/>
    </x:font>
    <x:font>
      <x:b/>
      <x:sz val="11"/>
      <x:color rgb="FF17324D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24D"/>
      <x:name val="Aptos"/>
    </x:font>
    <x:font>
      <x:b/>
      <x:sz val="10"/>
      <x:name val="Aptos"/>
    </x:font>
    <x:font>
      <x:sz val="10"/>
      <x:color rgb="FF1F4E78"/>
      <x:name val="Aptos"/>
    </x:font>
    <x:font>
      <x:b/>
      <x:sz val="16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CE6F1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16">
    <x:border/>
    <x:border>
      <x:right style="thin">
        <x:color rgb="FFAAB7C4"/>
      </x:right>
    </x:border>
    <x:border>
      <x:left style="thin">
        <x:color rgb="FFAAB7C4"/>
      </x:left>
      <x:right style="thin">
        <x:color rgb="FFAAB7C4"/>
      </x:right>
    </x:border>
    <x:border>
      <x:left style="thin">
        <x:color rgb="FFAAB7C4"/>
      </x:left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top style="medium">
        <x:color rgb="FF2F75B5"/>
      </x:top>
    </x:border>
  </x:borders>
  <x:cellStyleXfs count="1">
    <x:xf numFmtId="0" fontId="0" fillId="0" borderId="0"/>
  </x:cellStyleXfs>
  <x:cellXfs count="1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200" fontId="3" fillId="3" borderId="4" xfId="0" applyNumberFormat="1" applyFont="1" applyFill="1" applyBorder="1"/>
    <x:xf numFmtId="200" fontId="3" fillId="3" borderId="7" xfId="0" applyNumberFormat="1" applyFont="1" applyFill="1" applyBorder="1"/>
    <x:xf numFmtId="200" fontId="3" fillId="3" borderId="9" xfId="0" applyNumberFormat="1" applyFont="1" applyFill="1" applyBorder="1"/>
    <x:xf numFmtId="201" fontId="3" fillId="3" borderId="5" xfId="0" applyNumberFormat="1" applyFont="1" applyFill="1" applyBorder="1"/>
    <x:xf numFmtId="201" fontId="3" fillId="3" borderId="0" xfId="0" applyNumberFormat="1" applyFont="1" applyFill="1" applyBorder="1"/>
    <x:xf numFmtId="201" fontId="3" fillId="3" borderId="10" xfId="0" applyNumberFormat="1" applyFont="1" applyFill="1" applyBorder="1"/>
    <x:xf numFmtId="200" fontId="3" fillId="3" borderId="5" xfId="0" applyNumberFormat="1" applyFont="1" applyFill="1" applyBorder="1"/>
    <x:xf numFmtId="200" fontId="3" fillId="3" borderId="6" xfId="0" applyNumberFormat="1" applyFont="1" applyFill="1" applyBorder="1"/>
    <x:xf numFmtId="200" fontId="3" fillId="3" borderId="0" xfId="0" applyNumberFormat="1" applyFont="1" applyFill="1" applyBorder="1"/>
    <x:xf numFmtId="200" fontId="3" fillId="3" borderId="8" xfId="0" applyNumberFormat="1" applyFont="1" applyFill="1" applyBorder="1"/>
    <x:xf numFmtId="200" fontId="3" fillId="3" borderId="10" xfId="0" applyNumberFormat="1" applyFont="1" applyFill="1" applyBorder="1"/>
    <x:xf numFmtId="200" fontId="3" fillId="3" borderId="1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201" fontId="3" fillId="3" borderId="12" xfId="0" applyNumberFormat="1" applyFont="1" applyFill="1" applyBorder="1"/>
    <x:xf numFmtId="200" fontId="3" fillId="3" borderId="13" xfId="0" applyNumberFormat="1" applyFont="1" applyFill="1" applyBorder="1"/>
    <x:xf numFmtId="200" fontId="3" fillId="3" borderId="1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5" xfId="0" applyNumberFormat="1" applyFont="1" applyFill="1" applyBorder="1"/>
    <x:xf numFmtId="202" fontId="0" fillId="0" borderId="15" xfId="0" applyNumberFormat="1" applyFont="1" applyFill="1" applyBorder="1"/>
    <x:xf numFmtId="203" fontId="0" fillId="0" borderId="15" xfId="0" applyNumberFormat="1" applyFont="1" applyFill="1" applyBorder="1"/>
    <x:xf numFmtId="201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4" fontId="5" fillId="6" borderId="0" xfId="0" applyNumberFormat="1" applyFont="1" applyFill="1" applyBorder="1"/>
    <x:xf numFmtId="200" fontId="5" fillId="6" borderId="0" xfId="0" applyNumberFormat="1" applyFont="1" applyFill="1" applyBorder="1"/>
    <x:xf numFmtId="202" fontId="5" fillId="6" borderId="0" xfId="0" applyNumberFormat="1" applyFont="1" applyFill="1" applyBorder="1"/>
    <x:xf numFmtId="203" fontId="5" fillId="6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5" borderId="0" xfId="0" applyNumberFormat="1" applyFont="1" applyFill="1" applyBorder="1"/>
    <x:xf numFmtId="0" fontId="9" fillId="6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204" fontId="9" fillId="6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200" fontId="9" fillId="6" borderId="0" xfId="0" applyNumberFormat="1" applyFont="1" applyFill="1" applyBorder="1"/>
    <x:xf numFmtId="202" fontId="9" fillId="6" borderId="0" xfId="0" applyNumberFormat="1" applyFont="1" applyFill="1" applyBorder="1"/>
    <x:xf numFmtId="203" fontId="9" fillId="6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204" fontId="9" fillId="6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9" fillId="6" borderId="0" xfId="0" applyNumberFormat="1" applyFont="1" applyFill="1" applyBorder="1" applyAlignment="1">
      <x:alignment vertical="center"/>
    </x:xf>
    <x:xf numFmtId="202" fontId="9" fillId="6" borderId="0" xfId="0" applyNumberFormat="1" applyFont="1" applyFill="1" applyBorder="1" applyAlignment="1">
      <x:alignment vertical="center"/>
    </x:xf>
    <x:xf numFmtId="203" fontId="9" fillId="6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10" fillId="3" borderId="4" xfId="0" applyNumberFormat="1" applyFont="1" applyFill="1" applyBorder="1"/>
    <x:xf numFmtId="201" fontId="10" fillId="3" borderId="5" xfId="0" applyNumberFormat="1" applyFont="1" applyFill="1" applyBorder="1"/>
    <x:xf numFmtId="200" fontId="10" fillId="3" borderId="5" xfId="0" applyNumberFormat="1" applyFont="1" applyFill="1" applyBorder="1"/>
    <x:xf numFmtId="200" fontId="10" fillId="3" borderId="6" xfId="0" applyNumberFormat="1" applyFont="1" applyFill="1" applyBorder="1"/>
    <x:xf numFmtId="200" fontId="10" fillId="3" borderId="7" xfId="0" applyNumberFormat="1" applyFont="1" applyFill="1" applyBorder="1"/>
    <x:xf numFmtId="201" fontId="10" fillId="3" borderId="0" xfId="0" applyNumberFormat="1" applyFont="1" applyFill="1" applyBorder="1"/>
    <x:xf numFmtId="200" fontId="10" fillId="3" borderId="0" xfId="0" applyNumberFormat="1" applyFont="1" applyFill="1" applyBorder="1"/>
    <x:xf numFmtId="200" fontId="10" fillId="3" borderId="8" xfId="0" applyNumberFormat="1" applyFont="1" applyFill="1" applyBorder="1"/>
    <x:xf numFmtId="200" fontId="10" fillId="3" borderId="9" xfId="0" applyNumberFormat="1" applyFont="1" applyFill="1" applyBorder="1"/>
    <x:xf numFmtId="201" fontId="10" fillId="3" borderId="10" xfId="0" applyNumberFormat="1" applyFont="1" applyFill="1" applyBorder="1"/>
    <x:xf numFmtId="200" fontId="10" fillId="3" borderId="10" xfId="0" applyNumberFormat="1" applyFont="1" applyFill="1" applyBorder="1"/>
    <x:xf numFmtId="200" fontId="10" fillId="3" borderId="11" xfId="0" applyNumberFormat="1" applyFont="1" applyFill="1" applyBorder="1"/>
    <x:xf numFmtId="201" fontId="10" fillId="3" borderId="12" xfId="0" applyNumberFormat="1" applyFont="1" applyFill="1" applyBorder="1"/>
    <x:xf numFmtId="200" fontId="10" fillId="3" borderId="13" xfId="0" applyNumberFormat="1" applyFont="1" applyFill="1" applyBorder="1"/>
    <x:xf numFmtId="200" fontId="10" fillId="3" borderId="14" xfId="0" applyNumberFormat="1" applyFont="1" applyFill="1" applyBorder="1"/>
    <x:xf numFmtId="0" fontId="10" fillId="3" borderId="4" xfId="0" applyNumberFormat="1" applyFont="1" applyFill="1" applyBorder="1"/>
    <x:xf numFmtId="0" fontId="10" fillId="3" borderId="5" xfId="0" applyNumberFormat="1" applyFont="1" applyFill="1" applyBorder="1"/>
    <x:xf numFmtId="0" fontId="10" fillId="3" borderId="6" xfId="0" applyNumberFormat="1" applyFont="1" applyFill="1" applyBorder="1"/>
    <x:xf numFmtId="0" fontId="10" fillId="3" borderId="7" xfId="0" applyNumberFormat="1" applyFont="1" applyFill="1" applyBorder="1"/>
    <x:xf numFmtId="0" fontId="10" fillId="3" borderId="0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200" fontId="10" fillId="3" borderId="4" xfId="0" applyNumberFormat="1" applyFont="1" applyFill="1" applyBorder="1" applyAlignment="1">
      <x:alignment vertical="center"/>
    </x:xf>
    <x:xf numFmtId="201" fontId="10" fillId="3" borderId="5" xfId="0" applyNumberFormat="1" applyFont="1" applyFill="1" applyBorder="1" applyAlignment="1">
      <x:alignment vertical="center"/>
    </x:xf>
    <x:xf numFmtId="200" fontId="10" fillId="3" borderId="5" xfId="0" applyNumberFormat="1" applyFont="1" applyFill="1" applyBorder="1" applyAlignment="1">
      <x:alignment vertical="center"/>
    </x:xf>
    <x:xf numFmtId="200" fontId="10" fillId="3" borderId="6" xfId="0" applyNumberFormat="1" applyFont="1" applyFill="1" applyBorder="1" applyAlignment="1">
      <x:alignment vertical="center"/>
    </x:xf>
    <x:xf numFmtId="200" fontId="10" fillId="3" borderId="7" xfId="0" applyNumberFormat="1" applyFont="1" applyFill="1" applyBorder="1" applyAlignment="1">
      <x:alignment vertical="center"/>
    </x:xf>
    <x:xf numFmtId="201" fontId="10" fillId="3" borderId="0" xfId="0" applyNumberFormat="1" applyFont="1" applyFill="1" applyBorder="1" applyAlignment="1">
      <x:alignment vertical="center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8" xfId="0" applyNumberFormat="1" applyFont="1" applyFill="1" applyBorder="1" applyAlignment="1">
      <x:alignment vertical="center"/>
    </x:xf>
    <x:xf numFmtId="200" fontId="10" fillId="3" borderId="9" xfId="0" applyNumberFormat="1" applyFont="1" applyFill="1" applyBorder="1" applyAlignment="1">
      <x:alignment vertical="center"/>
    </x:xf>
    <x:xf numFmtId="201" fontId="10" fillId="3" borderId="10" xfId="0" applyNumberFormat="1" applyFont="1" applyFill="1" applyBorder="1" applyAlignment="1">
      <x:alignment vertical="center"/>
    </x:xf>
    <x:xf numFmtId="200" fontId="10" fillId="3" borderId="10" xfId="0" applyNumberFormat="1" applyFont="1" applyFill="1" applyBorder="1" applyAlignment="1">
      <x:alignment vertical="center"/>
    </x:xf>
    <x:xf numFmtId="200" fontId="10" fillId="3" borderId="11" xfId="0" applyNumberFormat="1" applyFont="1" applyFill="1" applyBorder="1" applyAlignment="1">
      <x:alignment vertical="center"/>
    </x:xf>
    <x:xf numFmtId="201" fontId="10" fillId="3" borderId="12" xfId="0" applyNumberFormat="1" applyFont="1" applyFill="1" applyBorder="1" applyAlignment="1">
      <x:alignment vertical="center"/>
    </x:xf>
    <x:xf numFmtId="200" fontId="10" fillId="3" borderId="13" xfId="0" applyNumberFormat="1" applyFont="1" applyFill="1" applyBorder="1" applyAlignment="1">
      <x:alignment vertical="center"/>
    </x:xf>
    <x:xf numFmtId="200" fontId="10" fillId="3" borderId="14" xfId="0" applyNumberFormat="1" applyFont="1" applyFill="1" applyBorder="1" applyAlignment="1">
      <x:alignment vertical="center"/>
    </x:xf>
    <x:xf numFmtId="0" fontId="10" fillId="3" borderId="4" xfId="0" applyNumberFormat="1" applyFont="1" applyFill="1" applyBorder="1" applyAlignment="1">
      <x:alignment vertical="center"/>
    </x:xf>
    <x:xf numFmtId="0" fontId="10" fillId="3" borderId="5" xfId="0" applyNumberFormat="1" applyFont="1" applyFill="1" applyBorder="1" applyAlignment="1">
      <x:alignment vertical="center"/>
    </x:xf>
    <x:xf numFmtId="0" fontId="10" fillId="3" borderId="6" xfId="0" applyNumberFormat="1" applyFont="1" applyFill="1" applyBorder="1" applyAlignment="1">
      <x:alignment vertical="center"/>
    </x:xf>
    <x:xf numFmtId="0" fontId="10" fillId="3" borderId="7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8" xfId="0" applyNumberFormat="1" applyFont="1" applyFill="1" applyBorder="1" applyAlignment="1">
      <x:alignment vertical="center"/>
    </x:xf>
    <x:xf numFmtId="0" fontId="10" fillId="3" borderId="9" xfId="0" applyNumberFormat="1" applyFont="1" applyFill="1" applyBorder="1" applyAlignment="1">
      <x:alignment vertical="center"/>
    </x:xf>
    <x:xf numFmtId="0" fontId="10" fillId="3" borderId="10" xfId="0" applyNumberFormat="1" applyFont="1" applyFill="1" applyBorder="1" applyAlignment="1">
      <x:alignment vertical="center"/>
    </x:xf>
    <x:xf numFmtId="0" fontId="10" fillId="3" borderId="11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/>
    <x:xf numFmtId="202" fontId="7" fillId="0" borderId="15" xfId="0" applyNumberFormat="1" applyFont="1" applyFill="1" applyBorder="1"/>
    <x:xf numFmtId="203" fontId="7" fillId="0" borderId="15" xfId="0" applyNumberFormat="1" applyFont="1" applyFill="1" applyBorder="1"/>
    <x:xf numFmtId="201" fontId="7" fillId="0" borderId="15" xfId="0" applyNumberFormat="1" applyFont="1" applyFill="1" applyBorder="1"/>
    <x:xf numFmtId="200" fontId="7" fillId="0" borderId="15" xfId="0" applyNumberFormat="1" applyFont="1" applyFill="1" applyBorder="1"/>
    <x:xf numFmtId="200" fontId="7" fillId="0" borderId="0" xfId="0" applyNumberFormat="1" applyFont="1" applyFill="1" applyBorder="1"/>
    <x:xf numFmtId="0" fontId="7" fillId="0" borderId="15" xfId="0" applyNumberFormat="1" applyFont="1" applyFill="1" applyBorder="1" applyAlignment="1">
      <x:alignment vertical="center"/>
    </x:xf>
    <x:xf numFmtId="202" fontId="7" fillId="0" borderId="15" xfId="0" applyNumberFormat="1" applyFont="1" applyFill="1" applyBorder="1" applyAlignment="1">
      <x:alignment vertical="center"/>
    </x:xf>
    <x:xf numFmtId="203" fontId="7" fillId="0" borderId="15" xfId="0" applyNumberFormat="1" applyFont="1" applyFill="1" applyBorder="1" applyAlignment="1">
      <x:alignment vertical="center"/>
    </x:xf>
    <x:xf numFmtId="201" fontId="7" fillId="0" borderId="15" xfId="0" applyNumberFormat="1" applyFont="1" applyFill="1" applyBorder="1" applyAlignment="1">
      <x:alignment vertical="center"/>
    </x:xf>
    <x:xf numFmtId="200" fontId="7" fillId="0" borderId="15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/>
    <x:xf numFmtId="0" fontId="8" fillId="7" borderId="0" xfId="0" applyNumberFormat="1" applyFont="1" applyFill="1" applyBorder="1"/>
    <x:xf numFmtId="205" fontId="7" fillId="0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5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2243050134fae" /><Relationship Type="http://schemas.openxmlformats.org/officeDocument/2006/relationships/theme" Target="/xl/theme/theme1.xml" Id="R9f0f53350b734b9d" /><Relationship Type="http://schemas.openxmlformats.org/officeDocument/2006/relationships/sharedStrings" Target="/xl/sharedStrings.xml" Id="R98320c1964a14b68" /><Relationship Type="http://schemas.openxmlformats.org/officeDocument/2006/relationships/worksheet" Target="/xl/worksheets/sheet1.xml" Id="R25b9a323530540d6" /><Relationship Type="http://schemas.openxmlformats.org/officeDocument/2006/relationships/worksheet" Target="/xl/worksheets/sheet2.xml" Id="R32a1320b027248d8" /><Relationship Type="http://schemas.openxmlformats.org/officeDocument/2006/relationships/worksheet" Target="/xl/worksheets/sheet3.xml" Id="Raf0df6235d7647bd" /><Relationship Type="http://schemas.openxmlformats.org/officeDocument/2006/relationships/worksheet" Target="/xl/worksheets/sheet4.xml" Id="Rffd0f8f8856c4960" /><Relationship Type="http://schemas.openxmlformats.org/officeDocument/2006/relationships/worksheet" Target="/xl/worksheets/sheet5.xml" Id="R74638422f9c14621" /><Relationship Type="http://schemas.openxmlformats.org/officeDocument/2006/relationships/worksheet" Target="/xl/worksheets/sheet6.xml" Id="R5e5e4682d48b4660" /><Relationship Type="http://schemas.openxmlformats.org/officeDocument/2006/relationships/worksheet" Target="/xl/worksheets/sheet7.xml" Id="R9df697ddcb1f41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2d91d0fa464e95" /><Relationship Type="http://schemas.openxmlformats.org/officeDocument/2006/relationships/chart" Target="/xl/drawings/charts/chart2.xml" Id="R572501e43d3b4c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Operating Profit by Scenario (€)</a:t>
            </a:r>
          </a:p>
        </c:rich>
      </c:tx>
    </c:title>
    <c:plotArea>
      <c:lineChart>
        <c:grouping val="standard"/>
        <c:ser>
          <c:idx val="0"/>
          <c:order val="0"/>
          <c:tx>
            <c:v>Conservative</c:v>
          </c:tx>
          <c:marker>
            <c:symbol val="none"/>
          </c:marker>
          <c:cat>
            <c:strRef>
              <c:f>'Summary'!$I$12:$I$23</c:f>
              <c:strCache>
                <c:ptCount val="0"/>
              </c:strCache>
            </c:strRef>
          </c:cat>
          <c:val>
            <c:numRef>
              <c:f>'Summary'!$J$12:$J$23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Expected</c:v>
          </c:tx>
          <c:marker>
            <c:symbol val="none"/>
          </c:marker>
          <c:cat>
            <c:strRef>
              <c:f>'Summary'!$I$12:$I$23</c:f>
              <c:strCache>
                <c:ptCount val="0"/>
              </c:strCache>
            </c:strRef>
          </c:cat>
          <c:val>
            <c:numRef>
              <c:f>'Summary'!$K$12:$K$23</c:f>
              <c:numCache>
                <c:formatCode>€#,##0</c:formatCode>
                <c:ptCount val="0"/>
              </c:numCache>
            </c:numRef>
          </c:val>
        </c:ser>
        <c:ser>
          <c:idx val="2"/>
          <c:order val="2"/>
          <c:tx>
            <c:v>Optimistic</c:v>
          </c:tx>
          <c:marker>
            <c:symbol val="none"/>
          </c:marker>
          <c:cat>
            <c:strRef>
              <c:f>'Summary'!$I$12:$I$23</c:f>
              <c:strCache>
                <c:ptCount val="0"/>
              </c:strCache>
            </c:strRef>
          </c:cat>
          <c:val>
            <c:numRef>
              <c:f>'Summary'!$L$12:$L$23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12-Month Operating Profit (€)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12M Operating Profit</c:v>
          </c:tx>
          <c:spPr>
            <a:solidFill xmlns:a="http://schemas.openxmlformats.org/drawingml/2006/main">
              <a:srgbClr val="1F6D8C"/>
            </a:solidFill>
          </c:spPr>
          <c:cat>
            <c:strRef>
              <c:f>'Summary'!$A$12:$A$14</c:f>
              <c:strCache>
                <c:ptCount val="0"/>
              </c:strCache>
            </c:strRef>
          </c:cat>
          <c:val>
            <c:numRef>
              <c:f>'Summary'!$F$12:$F$14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2d91d0fa464e95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2501e43d3b4c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0125945f0a4f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8" max="8" width="16" hidden="0" customWidth="1"/>
  </x:cols>
  <x:sheetData>
    <x:row r="1" ht="19.200000762939453" hidden="0" customHeight="1">
      <x:c r="A1" s="165" t="str">
        <x:v>AI Operations Platform — Financial Forecast</x:v>
      </x:c>
      <x:c r="B1" s="166"/>
      <x:c r="C1" s="166"/>
      <x:c r="D1" s="166"/>
      <x:c r="E1" s="166"/>
      <x:c r="F1" s="166"/>
      <x:c r="G1" s="166"/>
      <x:c r="H1" s="166"/>
      <x:c r="I1" s="166"/>
      <x:c r="J1" s="166"/>
      <x:c r="K1" s="166"/>
      <x:c r="L1" s="166"/>
    </x:row>
    <x:row r="2" ht="15" hidden="0" customHeight="1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</x:row>
    <x:row r="3" ht="15" hidden="0" customHeight="1">
      <x:c r="A3" s="89" t="str">
        <x:v>Model version</x:v>
      </x:c>
      <x:c r="B3" s="90" t="str">
        <x:v>1.0</x:v>
      </x:c>
      <x:c r="C3" s="88"/>
      <x:c r="D3" s="88"/>
      <x:c r="E3" s="88"/>
      <x:c r="F3" s="88"/>
      <x:c r="G3" s="88"/>
      <x:c r="H3" s="88"/>
      <x:c r="I3" s="91" t="str">
        <x:v>Model guidance</x:v>
      </x:c>
      <x:c r="J3" s="91"/>
      <x:c r="K3" s="91"/>
      <x:c r="L3" s="91"/>
    </x:row>
    <x:row r="4" ht="24" hidden="0" customHeight="1">
      <x:c r="A4" s="89" t="str">
        <x:v>As of</x:v>
      </x:c>
      <x:c r="B4" s="92" t="n">
        <x:v>46233</x:v>
      </x:c>
      <x:c r="C4" s="88"/>
      <x:c r="D4" s="88"/>
      <x:c r="E4" s="88"/>
      <x:c r="F4" s="88"/>
      <x:c r="G4" s="88"/>
      <x:c r="H4" s="88"/>
      <x:c r="I4" s="93" t="str">
        <x:v>Yellow cells</x:v>
      </x:c>
      <x:c r="J4" s="94" t="str">
        <x:v>Editable assumptions</x:v>
      </x:c>
      <x:c r="K4" s="94"/>
      <x:c r="L4" s="94"/>
    </x:row>
    <x:row r="5" ht="15" hidden="0" customHeight="1">
      <x:c r="A5" s="89" t="str">
        <x:v>Current subscription price</x:v>
      </x:c>
      <x:c r="B5" s="95" t="n">
        <x:f>'Assumptions'!$B$5</x:f>
        <x:v>80</x:v>
      </x:c>
      <x:c r="C5" s="88"/>
      <x:c r="D5" s="88"/>
      <x:c r="E5" s="88"/>
      <x:c r="F5" s="88"/>
      <x:c r="G5" s="88"/>
      <x:c r="H5" s="88"/>
      <x:c r="I5" s="93" t="str">
        <x:v>Blue text</x:v>
      </x:c>
      <x:c r="J5" s="94" t="str">
        <x:v>Hardcoded inputs</x:v>
      </x:c>
      <x:c r="K5" s="94"/>
      <x:c r="L5" s="94"/>
    </x:row>
    <x:row r="6" ht="15" hidden="0" customHeight="1">
      <x:c r="A6" s="89" t="str">
        <x:v>Expected M12 active clients</x:v>
      </x:c>
      <x:c r="B6" s="96" t="n">
        <x:f>'12M Forecast'!F26</x:f>
        <x:v>49</x:v>
      </x:c>
      <x:c r="C6" s="88"/>
      <x:c r="D6" s="88"/>
      <x:c r="E6" s="88"/>
      <x:c r="F6" s="88"/>
      <x:c r="G6" s="88"/>
      <x:c r="H6" s="88"/>
      <x:c r="I6" s="93" t="str">
        <x:v>Black text</x:v>
      </x:c>
      <x:c r="J6" s="94" t="str">
        <x:v>Calculated outputs</x:v>
      </x:c>
      <x:c r="K6" s="94"/>
      <x:c r="L6" s="94"/>
    </x:row>
    <x:row r="7" ht="24" hidden="0" customHeight="1">
      <x:c r="A7" s="89" t="str">
        <x:v>Expected M12 operating profit</x:v>
      </x:c>
      <x:c r="B7" s="97" t="n">
        <x:f>'12M Forecast'!O26</x:f>
        <x:v>2384</x:v>
      </x:c>
      <x:c r="C7" s="88"/>
      <x:c r="D7" s="88"/>
      <x:c r="E7" s="88"/>
      <x:c r="F7" s="88"/>
      <x:c r="G7" s="88"/>
      <x:c r="H7" s="88"/>
      <x:c r="I7" s="93" t="str">
        <x:v>Tax and VAT</x:v>
      </x:c>
      <x:c r="J7" s="94" t="str">
        <x:v>Excluded pending professional confirmation</x:v>
      </x:c>
      <x:c r="K7" s="94"/>
      <x:c r="L7" s="94"/>
    </x:row>
    <x:row r="8" ht="24" hidden="0" customHeight="1">
      <x:c r="A8" s="89" t="str">
        <x:v>Expected M12 cumulative cash</x:v>
      </x:c>
      <x:c r="B8" s="97" t="n">
        <x:f>'12M Forecast'!P26</x:f>
        <x:v>9676</x:v>
      </x:c>
      <x:c r="C8" s="88"/>
      <x:c r="D8" s="88"/>
      <x:c r="E8" s="88"/>
      <x:c r="F8" s="88"/>
      <x:c r="G8" s="88"/>
      <x:c r="H8" s="88"/>
      <x:c r="I8" s="93" t="str">
        <x:v>Founder salary</x:v>
      </x:c>
      <x:c r="J8" s="94" t="str">
        <x:v>Excluded from base; €3,000 goal tested separately</x:v>
      </x:c>
      <x:c r="K8" s="94"/>
      <x:c r="L8" s="94"/>
    </x:row>
    <x:row r="9" ht="15" hidden="0" customHeight="1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</x:row>
    <x:row r="10" ht="15" hidden="0" customHeight="1">
      <x:c r="A10" s="81" t="str">
        <x:v>12-month outcomes by scenario</x:v>
      </x:c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</x:row>
    <x:row r="11" ht="36" hidden="0" customHeight="1">
      <x:c r="A11" s="82" t="str">
        <x:v>Scenario</x:v>
      </x:c>
      <x:c r="B11" s="83" t="str">
        <x:v>M12 clients</x:v>
      </x:c>
      <x:c r="C11" s="83" t="str">
        <x:v>M12 revenue</x:v>
      </x:c>
      <x:c r="D11" s="83" t="str">
        <x:v>M12 operating profit</x:v>
      </x:c>
      <x:c r="E11" s="83" t="str">
        <x:v>12M revenue</x:v>
      </x:c>
      <x:c r="F11" s="83" t="str">
        <x:v>12M operating profit</x:v>
      </x:c>
      <x:c r="G11" s="84" t="str">
        <x:v>Ending cash</x:v>
      </x:c>
      <x:c r="H11" s="88"/>
      <x:c r="I11" s="88" t="str">
        <x:v>Month</x:v>
      </x:c>
      <x:c r="J11" s="88" t="str">
        <x:v>Conservative</x:v>
      </x:c>
      <x:c r="K11" s="88" t="str">
        <x:v>Expected</x:v>
      </x:c>
      <x:c r="L11" s="88" t="str">
        <x:v>Optimistic</x:v>
      </x:c>
    </x:row>
    <x:row r="12" ht="15" hidden="0" customHeight="1">
      <x:c r="A12" s="88" t="str">
        <x:v>Conservative</x:v>
      </x:c>
      <x:c r="B12" s="98" t="n">
        <x:f>'12M Forecast'!F14</x:f>
        <x:v>26</x:v>
      </x:c>
      <x:c r="C12" s="99" t="n">
        <x:f>'12M Forecast'!G14</x:f>
        <x:v>2080</x:v>
      </x:c>
      <x:c r="D12" s="99" t="n">
        <x:f>'12M Forecast'!O14</x:f>
        <x:v>484.9000000000001</x:v>
      </x:c>
      <x:c r="E12" s="99" t="n">
        <x:f>SUM('12M Forecast'!G3:G14)</x:f>
        <x:v>11200</x:v>
      </x:c>
      <x:c r="F12" s="99" t="n">
        <x:f>SUM('12M Forecast'!O3:O14)</x:f>
        <x:v>-48.99999999999977</x:v>
      </x:c>
      <x:c r="G12" s="99" t="n">
        <x:f>'12M Forecast'!P14</x:f>
        <x:v>-48.99999999999977</x:v>
      </x:c>
      <x:c r="H12" s="88"/>
      <x:c r="I12" s="88" t="str">
        <x:v>M1</x:v>
      </x:c>
      <x:c r="J12" s="88" t="n">
        <x:f>'12M Forecast'!O3</x:f>
        <x:v>-356.35</x:v>
      </x:c>
      <x:c r="K12" s="88" t="n">
        <x:f>'12M Forecast'!O15</x:f>
        <x:v>-268</x:v>
      </x:c>
      <x:c r="L12" s="88" t="n">
        <x:f>'12M Forecast'!O27</x:f>
        <x:v>-118.25</x:v>
      </x:c>
    </x:row>
    <x:row r="13" ht="15" hidden="0" customHeight="1">
      <x:c r="A13" s="88" t="str">
        <x:v>Expected</x:v>
      </x:c>
      <x:c r="B13" s="98" t="n">
        <x:f>'12M Forecast'!F26</x:f>
        <x:v>49</x:v>
      </x:c>
      <x:c r="C13" s="99" t="n">
        <x:f>'12M Forecast'!G26</x:f>
        <x:v>3920</x:v>
      </x:c>
      <x:c r="D13" s="99" t="n">
        <x:f>'12M Forecast'!O26</x:f>
        <x:v>2384</x:v>
      </x:c>
      <x:c r="E13" s="99" t="n">
        <x:f>SUM('12M Forecast'!G15:G26)</x:f>
        <x:v>21280</x:v>
      </x:c>
      <x:c r="F13" s="99" t="n">
        <x:f>SUM('12M Forecast'!O15:O26)</x:f>
        <x:v>9676</x:v>
      </x:c>
      <x:c r="G13" s="99" t="n">
        <x:f>'12M Forecast'!P26</x:f>
        <x:v>9676</x:v>
      </x:c>
      <x:c r="H13" s="88"/>
      <x:c r="I13" s="88" t="str">
        <x:v>M2</x:v>
      </x:c>
      <x:c r="J13" s="88" t="n">
        <x:f>'12M Forecast'!O4</x:f>
        <x:v>-282.7</x:v>
      </x:c>
      <x:c r="K13" s="88" t="n">
        <x:f>'12M Forecast'!O16</x:f>
        <x:v>-116</x:v>
      </x:c>
      <x:c r="L13" s="88" t="n">
        <x:f>'12M Forecast'!O28</x:f>
        <x:v>100.75</x:v>
      </x:c>
    </x:row>
    <x:row r="14" ht="15" hidden="0" customHeight="1">
      <x:c r="A14" s="88" t="str">
        <x:v>Optimistic</x:v>
      </x:c>
      <x:c r="B14" s="98" t="n">
        <x:f>'12M Forecast'!F38</x:f>
        <x:v>129</x:v>
      </x:c>
      <x:c r="C14" s="99" t="n">
        <x:f>'12M Forecast'!G38</x:f>
        <x:v>10320</x:v>
      </x:c>
      <x:c r="D14" s="99" t="n">
        <x:f>'12M Forecast'!O38</x:f>
        <x:v>6765.25</x:v>
      </x:c>
      <x:c r="E14" s="99" t="n">
        <x:f>SUM('12M Forecast'!G27:G38)</x:f>
        <x:v>46640</x:v>
      </x:c>
      <x:c r="F14" s="99" t="n">
        <x:f>SUM('12M Forecast'!O27:O38)</x:f>
        <x:v>28681.75</x:v>
      </x:c>
      <x:c r="G14" s="99" t="n">
        <x:f>'12M Forecast'!P38</x:f>
        <x:v>28681.75</x:v>
      </x:c>
      <x:c r="H14" s="88"/>
      <x:c r="I14" s="88" t="str">
        <x:v>M3</x:v>
      </x:c>
      <x:c r="J14" s="88" t="n">
        <x:f>'12M Forecast'!O5</x:f>
        <x:v>-209.05</x:v>
      </x:c>
      <x:c r="K14" s="88" t="n">
        <x:f>'12M Forecast'!O17</x:f>
        <x:v>-38</x:v>
      </x:c>
      <x:c r="L14" s="88" t="n">
        <x:f>'12M Forecast'!O29</x:f>
        <x:v>347</x:v>
      </x:c>
    </x:row>
    <x:row r="15" ht="15" hidden="0" customHeight="1">
      <x:c r="A15" s="88"/>
      <x:c r="B15" s="88"/>
      <x:c r="C15" s="88"/>
      <x:c r="D15" s="88"/>
      <x:c r="E15" s="88"/>
      <x:c r="F15" s="88"/>
      <x:c r="G15" s="88"/>
      <x:c r="H15" s="88"/>
      <x:c r="I15" s="88" t="str">
        <x:v>M4</x:v>
      </x:c>
      <x:c r="J15" s="88" t="n">
        <x:f>'12M Forecast'!O6</x:f>
        <x:v>-311.75</x:v>
      </x:c>
      <x:c r="K15" s="88" t="n">
        <x:f>'12M Forecast'!O18</x:f>
        <x:v>190</x:v>
      </x:c>
      <x:c r="L15" s="88" t="n">
        <x:f>'12M Forecast'!O30</x:f>
        <x:v>720.5</x:v>
      </x:c>
    </x:row>
    <x:row r="16" ht="15" hidden="0" customHeight="1">
      <x:c r="A16" s="81" t="str">
        <x:v>Expected scenario — selected client-count economics</x:v>
      </x:c>
      <x:c r="B16" s="88"/>
      <x:c r="C16" s="88"/>
      <x:c r="D16" s="88"/>
      <x:c r="E16" s="88"/>
      <x:c r="F16" s="88"/>
      <x:c r="G16" s="88"/>
      <x:c r="H16" s="88"/>
      <x:c r="I16" s="88" t="str">
        <x:v>M5</x:v>
      </x:c>
      <x:c r="J16" s="88" t="n">
        <x:f>'12M Forecast'!O7</x:f>
        <x:v>-164.45000000000005</x:v>
      </x:c>
      <x:c r="K16" s="88" t="n">
        <x:f>'12M Forecast'!O19</x:f>
        <x:v>294</x:v>
      </x:c>
      <x:c r="L16" s="88" t="n">
        <x:f>'12M Forecast'!O31</x:f>
        <x:v>1171.25</x:v>
      </x:c>
    </x:row>
    <x:row r="17" ht="24" hidden="0" customHeight="1">
      <x:c r="A17" s="82" t="str">
        <x:v>Clients</x:v>
      </x:c>
      <x:c r="B17" s="83" t="str">
        <x:v>Revenue</x:v>
      </x:c>
      <x:c r="C17" s="83" t="str">
        <x:v>Total cost</x:v>
      </x:c>
      <x:c r="D17" s="83" t="str">
        <x:v>Operating profit</x:v>
      </x:c>
      <x:c r="E17" s="83" t="str">
        <x:v>Operating margin</x:v>
      </x:c>
      <x:c r="F17" s="83" t="str">
        <x:v>Cost/client</x:v>
      </x:c>
      <x:c r="G17" s="84" t="str">
        <x:v>Founder-salary test</x:v>
      </x:c>
      <x:c r="H17" s="88"/>
      <x:c r="I17" s="88" t="str">
        <x:v>M6</x:v>
      </x:c>
      <x:c r="J17" s="88" t="n">
        <x:f>'12M Forecast'!O8</x:f>
        <x:v>-17.149999999999977</x:v>
      </x:c>
      <x:c r="K17" s="88" t="n">
        <x:f>'12M Forecast'!O20</x:f>
        <x:v>598</x:v>
      </x:c>
      <x:c r="L17" s="88" t="n">
        <x:f>'12M Forecast'!O32</x:f>
        <x:v>1589.25</x:v>
      </x:c>
    </x:row>
    <x:row r="18" ht="15" hidden="0" customHeight="1">
      <x:c r="A18" s="98" t="n">
        <x:f>'Client Scenarios'!B11</x:f>
        <x:v>5</x:v>
      </x:c>
      <x:c r="B18" s="99" t="n">
        <x:f>'Client Scenarios'!C11</x:f>
        <x:v>400</x:v>
      </x:c>
      <x:c r="C18" s="99" t="n">
        <x:f>'Client Scenarios'!I11</x:f>
        <x:v>140</x:v>
      </x:c>
      <x:c r="D18" s="99" t="n">
        <x:f>'Client Scenarios'!K11</x:f>
        <x:v>260</x:v>
      </x:c>
      <x:c r="E18" s="100" t="n">
        <x:f>'Client Scenarios'!L11</x:f>
        <x:v>0.65</x:v>
      </x:c>
      <x:c r="F18" s="99" t="n">
        <x:f>'Client Scenarios'!M11</x:f>
        <x:v>28</x:v>
      </x:c>
      <x:c r="G18" s="99" t="n">
        <x:f>D18-'Assumptions'!$B$12</x:f>
        <x:v>-2740</x:v>
      </x:c>
      <x:c r="H18" s="88"/>
      <x:c r="I18" s="88" t="str">
        <x:v>M7</x:v>
      </x:c>
      <x:c r="J18" s="88" t="n">
        <x:f>'12M Forecast'!O9</x:f>
        <x:v>-136.20000000000005</x:v>
      </x:c>
      <x:c r="K18" s="88" t="n">
        <x:f>'12M Forecast'!O21</x:f>
        <x:v>828</x:v>
      </x:c>
      <x:c r="L18" s="88" t="n">
        <x:f>'12M Forecast'!O33</x:f>
        <x:v>2181.75</x:v>
      </x:c>
    </x:row>
    <x:row r="19" ht="15" hidden="0" customHeight="1">
      <x:c r="A19" s="98" t="n">
        <x:f>'Client Scenarios'!B12</x:f>
        <x:v>10</x:v>
      </x:c>
      <x:c r="B19" s="99" t="n">
        <x:f>'Client Scenarios'!C12</x:f>
        <x:v>800</x:v>
      </x:c>
      <x:c r="C19" s="99" t="n">
        <x:f>'Client Scenarios'!I12</x:f>
        <x:v>160</x:v>
      </x:c>
      <x:c r="D19" s="99" t="n">
        <x:f>'Client Scenarios'!K12</x:f>
        <x:v>640</x:v>
      </x:c>
      <x:c r="E19" s="100" t="n">
        <x:f>'Client Scenarios'!L12</x:f>
        <x:v>0.8</x:v>
      </x:c>
      <x:c r="F19" s="99" t="n">
        <x:f>'Client Scenarios'!M12</x:f>
        <x:v>16</x:v>
      </x:c>
      <x:c r="G19" s="99" t="n">
        <x:f>D19-'Assumptions'!$B$12</x:f>
        <x:v>-2360</x:v>
      </x:c>
      <x:c r="H19" s="88"/>
      <x:c r="I19" s="88" t="str">
        <x:v>M8</x:v>
      </x:c>
      <x:c r="J19" s="88" t="n">
        <x:f>'12M Forecast'!O10</x:f>
        <x:v>84.75</x:v>
      </x:c>
      <x:c r="K19" s="88" t="n">
        <x:f>'12M Forecast'!O22</x:f>
        <x:v>1012</x:v>
      </x:c>
      <x:c r="L19" s="88" t="n">
        <x:f>'12M Forecast'!O34</x:f>
        <x:v>2666.5</x:v>
      </x:c>
    </x:row>
    <x:row r="20" ht="15" hidden="0" customHeight="1">
      <x:c r="A20" s="98" t="n">
        <x:f>'Client Scenarios'!B14</x:f>
        <x:v>50</x:v>
      </x:c>
      <x:c r="B20" s="99" t="n">
        <x:f>'Client Scenarios'!C14</x:f>
        <x:v>4000</x:v>
      </x:c>
      <x:c r="C20" s="99" t="n">
        <x:f>'Client Scenarios'!I14</x:f>
        <x:v>490</x:v>
      </x:c>
      <x:c r="D20" s="99" t="n">
        <x:f>'Client Scenarios'!K14</x:f>
        <x:v>3510</x:v>
      </x:c>
      <x:c r="E20" s="100" t="n">
        <x:f>'Client Scenarios'!L14</x:f>
        <x:v>0.8775</x:v>
      </x:c>
      <x:c r="F20" s="99" t="n">
        <x:f>'Client Scenarios'!M14</x:f>
        <x:v>9.8</x:v>
      </x:c>
      <x:c r="G20" s="99" t="n">
        <x:f>D20-'Assumptions'!$B$12</x:f>
        <x:v>510</x:v>
      </x:c>
      <x:c r="H20" s="88"/>
      <x:c r="I20" s="88" t="str">
        <x:v>M9</x:v>
      </x:c>
      <x:c r="J20" s="88" t="n">
        <x:f>'12M Forecast'!O11</x:f>
        <x:v>232.04999999999995</x:v>
      </x:c>
      <x:c r="K20" s="88" t="n">
        <x:f>'12M Forecast'!O23</x:f>
        <x:v>1242</x:v>
      </x:c>
      <x:c r="L20" s="88" t="n">
        <x:f>'12M Forecast'!O35</x:f>
        <x:v>3478</x:v>
      </x:c>
    </x:row>
    <x:row r="21" ht="15" hidden="0" customHeight="1">
      <x:c r="A21" s="98" t="n">
        <x:f>'Client Scenarios'!B15</x:f>
        <x:v>100</x:v>
      </x:c>
      <x:c r="B21" s="99" t="n">
        <x:f>'Client Scenarios'!C15</x:f>
        <x:v>8000</x:v>
      </x:c>
      <x:c r="C21" s="99" t="n">
        <x:f>'Client Scenarios'!I15</x:f>
        <x:v>930</x:v>
      </x:c>
      <x:c r="D21" s="99" t="n">
        <x:f>'Client Scenarios'!K15</x:f>
        <x:v>7070</x:v>
      </x:c>
      <x:c r="E21" s="100" t="n">
        <x:f>'Client Scenarios'!L15</x:f>
        <x:v>0.88375</x:v>
      </x:c>
      <x:c r="F21" s="99" t="n">
        <x:f>'Client Scenarios'!M15</x:f>
        <x:v>9.3</x:v>
      </x:c>
      <x:c r="G21" s="99" t="n">
        <x:f>D21-'Assumptions'!$B$12</x:f>
        <x:v>4070</x:v>
      </x:c>
      <x:c r="H21" s="88"/>
      <x:c r="I21" s="88" t="str">
        <x:v>M10</x:v>
      </x:c>
      <x:c r="J21" s="88" t="n">
        <x:f>'12M Forecast'!O12</x:f>
        <x:v>203</x:v>
      </x:c>
      <x:c r="K21" s="88" t="n">
        <x:f>'12M Forecast'!O24</x:f>
        <x:v>1622</x:v>
      </x:c>
      <x:c r="L21" s="88" t="n">
        <x:f>'12M Forecast'!O36</x:f>
        <x:v>4521.25</x:v>
      </x:c>
    </x:row>
    <x:row r="22" ht="15" hidden="0" customHeight="1">
      <x:c r="A22" s="98" t="n">
        <x:f>'Client Scenarios'!B16</x:f>
        <x:v>300</x:v>
      </x:c>
      <x:c r="B22" s="99" t="n">
        <x:f>'Client Scenarios'!C16</x:f>
        <x:v>24000</x:v>
      </x:c>
      <x:c r="C22" s="99" t="n">
        <x:f>'Client Scenarios'!I16</x:f>
        <x:v>2400</x:v>
      </x:c>
      <x:c r="D22" s="99" t="n">
        <x:f>'Client Scenarios'!K16</x:f>
        <x:v>21600</x:v>
      </x:c>
      <x:c r="E22" s="100" t="n">
        <x:f>'Client Scenarios'!L16</x:f>
        <x:v>0.9</x:v>
      </x:c>
      <x:c r="F22" s="99" t="n">
        <x:f>'Client Scenarios'!M16</x:f>
        <x:v>8</x:v>
      </x:c>
      <x:c r="G22" s="99" t="n">
        <x:f>D22-'Assumptions'!$B$12</x:f>
        <x:v>18600</x:v>
      </x:c>
      <x:c r="H22" s="88"/>
      <x:c r="I22" s="88" t="str">
        <x:v>M11</x:v>
      </x:c>
      <x:c r="J22" s="88" t="n">
        <x:f>'12M Forecast'!O13</x:f>
        <x:v>423.95000000000005</x:v>
      </x:c>
      <x:c r="K22" s="88" t="n">
        <x:f>'12M Forecast'!O25</x:f>
        <x:v>1928</x:v>
      </x:c>
      <x:c r="L22" s="88" t="n">
        <x:f>'12M Forecast'!O37</x:f>
        <x:v>5258.5</x:v>
      </x:c>
    </x:row>
    <x:row r="23" ht="15" hidden="0" customHeight="1">
      <x:c r="A23" s="88"/>
      <x:c r="B23" s="88"/>
      <x:c r="C23" s="88"/>
      <x:c r="D23" s="88"/>
      <x:c r="E23" s="88"/>
      <x:c r="F23" s="88"/>
      <x:c r="G23" s="88"/>
      <x:c r="H23" s="88"/>
      <x:c r="I23" s="88" t="str">
        <x:v>M12</x:v>
      </x:c>
      <x:c r="J23" s="88" t="n">
        <x:f>'12M Forecast'!O14</x:f>
        <x:v>484.9000000000001</x:v>
      </x:c>
      <x:c r="K23" s="88" t="n">
        <x:f>'12M Forecast'!O26</x:f>
        <x:v>2384</x:v>
      </x:c>
      <x:c r="L23" s="88" t="n">
        <x:f>'12M Forecast'!O38</x:f>
        <x:v>6765.25</x:v>
      </x:c>
    </x:row>
  </x:sheetData>
  <x:mergeCells>
    <x:mergeCell ref="A1:L1"/>
    <x:mergeCell ref="A10:G10"/>
    <x:mergeCell ref="A16:G16"/>
    <x:mergeCell ref="I3:L3"/>
    <x:mergeCell ref="J4:L4"/>
    <x:mergeCell ref="J5:L5"/>
    <x:mergeCell ref="J6:L6"/>
    <x:mergeCell ref="J7:L7"/>
    <x:mergeCell ref="J8:L8"/>
  </x:mergeCells>
  <x:pageMargins left="0.7" right="0.7" top="0.75" bottom="0.75" header="0.3" footer="0.3"/>
  <x:drawing xmlns:r="http://schemas.openxmlformats.org/officeDocument/2006/relationships" r:id="Rdb0125945f0a4f4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.11000061035156" hidden="0" customWidth="1"/>
    <x:col min="3" max="3" width="10.670000076293945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.559999942779541" hidden="0" customWidth="1"/>
    <x:col min="10" max="10" width="2.559999942779541" hidden="0" customWidth="1"/>
    <x:col min="11" max="11" width="3.3299999237060547" hidden="0" customWidth="1"/>
    <x:col min="12" max="12" width="3.3299999237060547" hidden="0" customWidth="1"/>
    <x:col min="13" max="13" width="3.3299999237060547" hidden="0" customWidth="1"/>
  </x:cols>
  <x:sheetData>
    <x:row r="1" ht="19.200000762939453" hidden="0" customHeight="1">
      <x:c r="A1" s="165" t="str">
        <x:v>Financial Forecast — Assumptions</x:v>
      </x:c>
      <x:c r="B1" s="166"/>
      <x:c r="C1" s="166"/>
      <x:c r="D1" s="166"/>
      <x:c r="E1" s="166"/>
      <x:c r="F1" s="166"/>
      <x:c r="G1" s="166"/>
      <x:c r="H1" s="166"/>
      <x:c r="I1" s="88"/>
      <x:c r="J1" s="88"/>
      <x:c r="K1" s="88"/>
      <x:c r="L1" s="88"/>
      <x:c r="M1" s="88"/>
    </x:row>
    <x:row r="2" ht="15" hidden="0" customHeight="1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</x:row>
    <x:row r="3" ht="36" hidden="0" customHeight="1">
      <x:c r="A3" s="82" t="str">
        <x:v>Scenario</x:v>
      </x:c>
      <x:c r="B3" s="83" t="str">
        <x:v>Price / client</x:v>
      </x:c>
      <x:c r="C3" s="83" t="str">
        <x:v>Monthly churn</x:v>
      </x:c>
      <x:c r="D3" s="83" t="str">
        <x:v>CAC / new client</x:v>
      </x:c>
      <x:c r="E3" s="83" t="str">
        <x:v>AI / client</x:v>
      </x:c>
      <x:c r="F3" s="83" t="str">
        <x:v>Email / client</x:v>
      </x:c>
      <x:c r="G3" s="83" t="str">
        <x:v>Storage &amp; compute / client</x:v>
      </x:c>
      <x:c r="H3" s="84" t="str">
        <x:v>Support / client</x:v>
      </x:c>
      <x:c r="I3" s="88"/>
      <x:c r="J3" s="88"/>
      <x:c r="K3" s="88"/>
      <x:c r="L3" s="88"/>
      <x:c r="M3" s="88"/>
    </x:row>
    <x:row r="4" ht="15" hidden="0" customHeight="1">
      <x:c r="A4" s="88" t="str">
        <x:v>Conservative</x:v>
      </x:c>
      <x:c r="B4" s="125" t="n">
        <x:v>80</x:v>
      </x:c>
      <x:c r="C4" s="126" t="n">
        <x:v>0.04</x:v>
      </x:c>
      <x:c r="D4" s="127" t="n">
        <x:v>250</x:v>
      </x:c>
      <x:c r="E4" s="127" t="n">
        <x:v>3</x:v>
      </x:c>
      <x:c r="F4" s="127" t="n">
        <x:v>0.2</x:v>
      </x:c>
      <x:c r="G4" s="127" t="n">
        <x:v>1.3</x:v>
      </x:c>
      <x:c r="H4" s="128" t="n">
        <x:v>0.4</x:v>
      </x:c>
      <x:c r="I4" s="88"/>
      <x:c r="J4" s="88"/>
      <x:c r="K4" s="88"/>
      <x:c r="L4" s="88"/>
      <x:c r="M4" s="88"/>
    </x:row>
    <x:row r="5" ht="15" hidden="0" customHeight="1">
      <x:c r="A5" s="88" t="str">
        <x:v>Expected</x:v>
      </x:c>
      <x:c r="B5" s="129" t="n">
        <x:v>80</x:v>
      </x:c>
      <x:c r="C5" s="130" t="n">
        <x:v>0.025</x:v>
      </x:c>
      <x:c r="D5" s="131" t="n">
        <x:v>150</x:v>
      </x:c>
      <x:c r="E5" s="131" t="n">
        <x:v>1.5</x:v>
      </x:c>
      <x:c r="F5" s="131" t="n">
        <x:v>0.1</x:v>
      </x:c>
      <x:c r="G5" s="131" t="n">
        <x:v>0.7</x:v>
      </x:c>
      <x:c r="H5" s="132" t="n">
        <x:v>0.25</x:v>
      </x:c>
      <x:c r="I5" s="88"/>
      <x:c r="J5" s="88"/>
      <x:c r="K5" s="88"/>
      <x:c r="L5" s="88"/>
      <x:c r="M5" s="88"/>
    </x:row>
    <x:row r="6" ht="15" hidden="0" customHeight="1">
      <x:c r="A6" s="88" t="str">
        <x:v>Optimistic</x:v>
      </x:c>
      <x:c r="B6" s="133" t="n">
        <x:v>80</x:v>
      </x:c>
      <x:c r="C6" s="134" t="n">
        <x:v>0.015</x:v>
      </x:c>
      <x:c r="D6" s="135" t="n">
        <x:v>90</x:v>
      </x:c>
      <x:c r="E6" s="135" t="n">
        <x:v>0.75</x:v>
      </x:c>
      <x:c r="F6" s="135" t="n">
        <x:v>0.05</x:v>
      </x:c>
      <x:c r="G6" s="135" t="n">
        <x:v>0.35</x:v>
      </x:c>
      <x:c r="H6" s="136" t="n">
        <x:v>0.15</x:v>
      </x:c>
      <x:c r="I6" s="88"/>
      <x:c r="J6" s="88"/>
      <x:c r="K6" s="88"/>
      <x:c r="L6" s="88"/>
      <x:c r="M6" s="88"/>
    </x:row>
    <x:row r="7" ht="15" hidden="0" customHeight="1">
      <x:c r="A7" s="88"/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</x:row>
    <x:row r="8" ht="15" hidden="0" customHeight="1">
      <x:c r="A8" s="81" t="str">
        <x:v>Payment, planning and model conventions</x:v>
      </x:c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</x:row>
    <x:row r="9" ht="24" hidden="0" customHeight="1">
      <x:c r="A9" s="88" t="str">
        <x:v>Stripe EEA card rate</x:v>
      </x:c>
      <x:c r="B9" s="137" t="n">
        <x:v>0.015</x:v>
      </x:c>
      <x:c r="C9" s="88"/>
      <x:c r="D9" s="82" t="str">
        <x:v>Convention</x:v>
      </x:c>
      <x:c r="E9" s="83" t="str">
        <x:v>Value</x:v>
      </x:c>
      <x:c r="F9" s="83" t="str">
        <x:v>Status</x:v>
      </x:c>
      <x:c r="G9" s="83" t="str">
        <x:v>Owner</x:v>
      </x:c>
      <x:c r="H9" s="84" t="str">
        <x:v>Notes</x:v>
      </x:c>
      <x:c r="I9" s="88"/>
      <x:c r="J9" s="88"/>
      <x:c r="K9" s="88"/>
      <x:c r="L9" s="88"/>
      <x:c r="M9" s="88"/>
    </x:row>
    <x:row r="10" ht="15" hidden="0" customHeight="1">
      <x:c r="A10" s="88" t="str">
        <x:v>Stripe fixed fee / payment</x:v>
      </x:c>
      <x:c r="B10" s="138" t="n">
        <x:v>0.25</x:v>
      </x:c>
      <x:c r="C10" s="88"/>
      <x:c r="D10" s="88" t="str">
        <x:v>Tax</x:v>
      </x:c>
      <x:c r="E10" s="88" t="str">
        <x:v>Excluded</x:v>
      </x:c>
      <x:c r="F10" s="88" t="str">
        <x:v>Open</x:v>
      </x:c>
      <x:c r="G10" s="88" t="str">
        <x:v>Founder / accountant</x:v>
      </x:c>
      <x:c r="H10" s="88" t="str">
        <x:v>Add once company structure and Irish tax treatment are confirmed.</x:v>
      </x:c>
      <x:c r="I10" s="88"/>
      <x:c r="J10" s="88"/>
      <x:c r="K10" s="88"/>
      <x:c r="L10" s="88"/>
      <x:c r="M10" s="88"/>
    </x:row>
    <x:row r="11" ht="15" hidden="0" customHeight="1">
      <x:c r="A11" s="88" t="str">
        <x:v>Founder salary in base forecast</x:v>
      </x:c>
      <x:c r="B11" s="138" t="n">
        <x:v>0</x:v>
      </x:c>
      <x:c r="C11" s="88"/>
      <x:c r="D11" s="88" t="str">
        <x:v>VAT</x:v>
      </x:c>
      <x:c r="E11" s="88" t="str">
        <x:v>Excluded</x:v>
      </x:c>
      <x:c r="F11" s="88" t="str">
        <x:v>Open</x:v>
      </x:c>
      <x:c r="G11" s="88" t="str">
        <x:v>Founder / accountant</x:v>
      </x:c>
      <x:c r="H11" s="88" t="str">
        <x:v>Model is net of VAT; confirm registration and invoicing treatment.</x:v>
      </x:c>
      <x:c r="I11" s="88"/>
      <x:c r="J11" s="88"/>
      <x:c r="K11" s="88"/>
      <x:c r="L11" s="88"/>
      <x:c r="M11" s="88"/>
    </x:row>
    <x:row r="12" ht="15" hidden="0" customHeight="1">
      <x:c r="A12" s="88" t="str">
        <x:v>Founder salary goal</x:v>
      </x:c>
      <x:c r="B12" s="138" t="n">
        <x:v>3000</x:v>
      </x:c>
      <x:c r="C12" s="88"/>
      <x:c r="D12" s="88" t="str">
        <x:v>Pilot discounts</x:v>
      </x:c>
      <x:c r="E12" s="88" t="str">
        <x:v>Excluded</x:v>
      </x:c>
      <x:c r="F12" s="88" t="str">
        <x:v>Open</x:v>
      </x:c>
      <x:c r="G12" s="88" t="str">
        <x:v>Founder</x:v>
      </x:c>
      <x:c r="H12" s="88" t="str">
        <x:v>€80 is the current standard price; any pilot discount must be modelled separately.</x:v>
      </x:c>
      <x:c r="I12" s="88"/>
      <x:c r="J12" s="88"/>
      <x:c r="K12" s="88"/>
      <x:c r="L12" s="88"/>
      <x:c r="M12" s="88"/>
    </x:row>
    <x:row r="13" ht="15" hidden="0" customHeight="1">
      <x:c r="A13" s="88" t="str">
        <x:v>Opening cash</x:v>
      </x:c>
      <x:c r="B13" s="138" t="n">
        <x:v>0</x:v>
      </x:c>
      <x:c r="C13" s="88"/>
      <x:c r="D13" s="88" t="str">
        <x:v>Actuals</x:v>
      </x:c>
      <x:c r="E13" s="88" t="str">
        <x:v>Not yet available</x:v>
      </x:c>
      <x:c r="F13" s="88" t="str">
        <x:v>Pending pilot</x:v>
      </x:c>
      <x:c r="G13" s="88" t="str">
        <x:v>Founder</x:v>
      </x:c>
      <x:c r="H13" s="88" t="str">
        <x:v>Replace assumptions with actual vendor invoices and tenant usage.</x:v>
      </x:c>
      <x:c r="I13" s="88"/>
      <x:c r="J13" s="88"/>
      <x:c r="K13" s="88"/>
      <x:c r="L13" s="88"/>
      <x:c r="M13" s="88"/>
    </x:row>
    <x:row r="14" ht="15" hidden="0" customHeight="1">
      <x:c r="A14" s="88" t="str">
        <x:v>Forecast months</x:v>
      </x:c>
      <x:c r="B14" s="139" t="n">
        <x:v>12</x:v>
      </x:c>
      <x:c r="C14" s="88"/>
      <x:c r="D14" s="88" t="str">
        <x:v>Forecast basis</x:v>
      </x:c>
      <x:c r="E14" s="88" t="str">
        <x:v>Monthly</x:v>
      </x:c>
      <x:c r="F14" s="88" t="str">
        <x:v>Accepted</x:v>
      </x:c>
      <x:c r="G14" s="88" t="str">
        <x:v>Founder</x:v>
      </x:c>
      <x:c r="H14" s="88" t="str">
        <x:v>12-month operating forecast plus static client-count scenarios.</x:v>
      </x:c>
      <x:c r="I14" s="88"/>
      <x:c r="J14" s="88"/>
      <x:c r="K14" s="88"/>
      <x:c r="L14" s="88"/>
      <x:c r="M14" s="88"/>
    </x:row>
    <x:row r="15" ht="15" hidden="0" customHeight="1">
      <x:c r="A15" s="88" t="str">
        <x:v>Currency</x:v>
      </x:c>
      <x:c r="B15" s="88" t="str">
        <x:v>EUR</x:v>
      </x:c>
      <x:c r="C15" s="88"/>
      <x:c r="D15" s="88" t="str">
        <x:v>Model date</x:v>
      </x:c>
      <x:c r="E15" s="88" t="str">
        <x:v>2026-07-30</x:v>
      </x:c>
      <x:c r="F15" s="88" t="str">
        <x:v>Current</x:v>
      </x:c>
      <x:c r="G15" s="88" t="str">
        <x:v>Founder</x:v>
      </x:c>
      <x:c r="H15" s="88" t="str">
        <x:v>Assumptions reviewed on this date.</x:v>
      </x:c>
      <x:c r="I15" s="88"/>
      <x:c r="J15" s="88"/>
      <x:c r="K15" s="88"/>
      <x:c r="L15" s="88"/>
      <x:c r="M15" s="88"/>
    </x:row>
    <x:row r="16" ht="15" hidden="0" customHeight="1">
      <x:c r="A16" s="88"/>
      <x:c r="B16" s="88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</x:row>
    <x:row r="17" ht="24" hidden="0" customHeight="1">
      <x:c r="A17" s="93" t="str">
        <x:v>Important</x:v>
      </x:c>
      <x:c r="B17" s="94" t="str">
        <x:v>All non-vendor inputs are planning assumptions, not commitments. Update the yellow cells as pilot evidence becomes available.</x:v>
      </x:c>
      <x:c r="C17" s="94"/>
      <x:c r="D17" s="94"/>
      <x:c r="E17" s="94"/>
      <x:c r="F17" s="94"/>
      <x:c r="G17" s="94"/>
      <x:c r="H17" s="94"/>
      <x:c r="I17" s="88"/>
      <x:c r="J17" s="88"/>
      <x:c r="K17" s="88"/>
      <x:c r="L17" s="88"/>
      <x:c r="M17" s="88"/>
    </x:row>
    <x:row r="18" ht="24" hidden="0" customHeight="1">
      <x:c r="A18" s="93" t="str">
        <x:v>Payment basis</x:v>
      </x:c>
      <x:c r="B18" s="94" t="str">
        <x:v>The base model uses Stripe's current standard EEA card fee (1.5% + €0.25). SEPA Direct Debit can be tested as a lower-fee alternative.</x:v>
      </x:c>
      <x:c r="C18" s="94"/>
      <x:c r="D18" s="94"/>
      <x:c r="E18" s="94"/>
      <x:c r="F18" s="94"/>
      <x:c r="G18" s="94"/>
      <x:c r="H18" s="94"/>
      <x:c r="I18" s="88"/>
      <x:c r="J18" s="88"/>
      <x:c r="K18" s="88"/>
      <x:c r="L18" s="88"/>
      <x:c r="M18" s="88"/>
    </x:row>
    <x:row r="19" ht="15" hidden="0" customHeight="1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</x:row>
    <x:row r="20" ht="15" hidden="0" customHeight="1">
      <x:c r="A20" s="81" t="str">
        <x:v>Fixed platform and business-overhead step costs (monthly)</x:v>
      </x:c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</x:row>
    <x:row r="21" ht="24" hidden="0" customHeight="1">
      <x:c r="A21" s="82" t="str">
        <x:v>Scenario</x:v>
      </x:c>
      <x:c r="B21" s="83" t="str">
        <x:v>1–10 clients</x:v>
      </x:c>
      <x:c r="C21" s="83" t="str">
        <x:v>11–25 clients</x:v>
      </x:c>
      <x:c r="D21" s="83" t="str">
        <x:v>26–50 clients</x:v>
      </x:c>
      <x:c r="E21" s="83" t="str">
        <x:v>51–100 clients</x:v>
      </x:c>
      <x:c r="F21" s="83" t="str">
        <x:v>101–300 clients</x:v>
      </x:c>
      <x:c r="G21" s="84" t="str">
        <x:v>Cost type</x:v>
      </x:c>
      <x:c r="H21" s="88"/>
      <x:c r="I21" s="88"/>
      <x:c r="J21" s="88"/>
      <x:c r="K21" s="88"/>
      <x:c r="L21" s="88"/>
      <x:c r="M21" s="88"/>
    </x:row>
    <x:row r="22" ht="15" hidden="0" customHeight="1">
      <x:c r="A22" s="88" t="str">
        <x:v>Conservative</x:v>
      </x:c>
      <x:c r="B22" s="125" t="n">
        <x:v>80</x:v>
      </x:c>
      <x:c r="C22" s="127" t="n">
        <x:v>120</x:v>
      </x:c>
      <x:c r="D22" s="127" t="n">
        <x:v>180</x:v>
      </x:c>
      <x:c r="E22" s="127" t="n">
        <x:v>300</x:v>
      </x:c>
      <x:c r="F22" s="128" t="n">
        <x:v>650</x:v>
      </x:c>
      <x:c r="G22" s="88" t="str">
        <x:v>Fixed platform</x:v>
      </x:c>
      <x:c r="H22" s="88"/>
      <x:c r="I22" s="88"/>
      <x:c r="J22" s="88"/>
      <x:c r="K22" s="88"/>
      <x:c r="L22" s="88"/>
      <x:c r="M22" s="88"/>
    </x:row>
    <x:row r="23" ht="15" hidden="0" customHeight="1">
      <x:c r="A23" s="88" t="str">
        <x:v>Expected</x:v>
      </x:c>
      <x:c r="B23" s="129" t="n">
        <x:v>45</x:v>
      </x:c>
      <x:c r="C23" s="131" t="n">
        <x:v>70</x:v>
      </x:c>
      <x:c r="D23" s="131" t="n">
        <x:v>110</x:v>
      </x:c>
      <x:c r="E23" s="131" t="n">
        <x:v>180</x:v>
      </x:c>
      <x:c r="F23" s="132" t="n">
        <x:v>450</x:v>
      </x:c>
      <x:c r="G23" s="88" t="str">
        <x:v>Fixed platform</x:v>
      </x:c>
      <x:c r="H23" s="88"/>
      <x:c r="I23" s="88"/>
      <x:c r="J23" s="88"/>
      <x:c r="K23" s="88"/>
      <x:c r="L23" s="88"/>
      <x:c r="M23" s="88"/>
    </x:row>
    <x:row r="24" ht="15" hidden="0" customHeight="1">
      <x:c r="A24" s="88" t="str">
        <x:v>Optimistic</x:v>
      </x:c>
      <x:c r="B24" s="129" t="n">
        <x:v>30</x:v>
      </x:c>
      <x:c r="C24" s="131" t="n">
        <x:v>55</x:v>
      </x:c>
      <x:c r="D24" s="131" t="n">
        <x:v>90</x:v>
      </x:c>
      <x:c r="E24" s="131" t="n">
        <x:v>150</x:v>
      </x:c>
      <x:c r="F24" s="132" t="n">
        <x:v>350</x:v>
      </x:c>
      <x:c r="G24" s="88" t="str">
        <x:v>Fixed platform</x:v>
      </x:c>
      <x:c r="H24" s="88"/>
      <x:c r="I24" s="88"/>
      <x:c r="J24" s="88"/>
      <x:c r="K24" s="88"/>
      <x:c r="L24" s="88"/>
      <x:c r="M24" s="88"/>
    </x:row>
    <x:row r="25" ht="15" hidden="0" customHeight="1">
      <x:c r="A25" s="88" t="str">
        <x:v>Conservative</x:v>
      </x:c>
      <x:c r="B25" s="129" t="n">
        <x:v>100</x:v>
      </x:c>
      <x:c r="C25" s="131" t="n">
        <x:v>150</x:v>
      </x:c>
      <x:c r="D25" s="131" t="n">
        <x:v>250</x:v>
      </x:c>
      <x:c r="E25" s="131" t="n">
        <x:v>450</x:v>
      </x:c>
      <x:c r="F25" s="132" t="n">
        <x:v>900</x:v>
      </x:c>
      <x:c r="G25" s="88" t="str">
        <x:v>Business overhead</x:v>
      </x:c>
      <x:c r="H25" s="88"/>
      <x:c r="I25" s="88"/>
      <x:c r="J25" s="88"/>
      <x:c r="K25" s="88"/>
      <x:c r="L25" s="88"/>
      <x:c r="M25" s="88"/>
    </x:row>
    <x:row r="26" ht="15" hidden="0" customHeight="1">
      <x:c r="A26" s="88" t="str">
        <x:v>Expected</x:v>
      </x:c>
      <x:c r="B26" s="129" t="n">
        <x:v>75</x:v>
      </x:c>
      <x:c r="C26" s="131" t="n">
        <x:v>100</x:v>
      </x:c>
      <x:c r="D26" s="131" t="n">
        <x:v>180</x:v>
      </x:c>
      <x:c r="E26" s="131" t="n">
        <x:v>350</x:v>
      </x:c>
      <x:c r="F26" s="132" t="n">
        <x:v>750</x:v>
      </x:c>
      <x:c r="G26" s="88" t="str">
        <x:v>Business overhead</x:v>
      </x:c>
      <x:c r="H26" s="88"/>
      <x:c r="I26" s="88"/>
      <x:c r="J26" s="88"/>
      <x:c r="K26" s="88"/>
      <x:c r="L26" s="88"/>
      <x:c r="M26" s="88"/>
    </x:row>
    <x:row r="27" ht="15" hidden="0" customHeight="1">
      <x:c r="A27" s="88" t="str">
        <x:v>Optimistic</x:v>
      </x:c>
      <x:c r="B27" s="133" t="n">
        <x:v>50</x:v>
      </x:c>
      <x:c r="C27" s="135" t="n">
        <x:v>75</x:v>
      </x:c>
      <x:c r="D27" s="135" t="n">
        <x:v>150</x:v>
      </x:c>
      <x:c r="E27" s="135" t="n">
        <x:v>275</x:v>
      </x:c>
      <x:c r="F27" s="136" t="n">
        <x:v>600</x:v>
      </x:c>
      <x:c r="G27" s="88" t="str">
        <x:v>Business overhead</x:v>
      </x:c>
      <x:c r="H27" s="88"/>
      <x:c r="I27" s="88"/>
      <x:c r="J27" s="88"/>
      <x:c r="K27" s="88"/>
      <x:c r="L27" s="88"/>
      <x:c r="M27" s="88"/>
    </x:row>
    <x:row r="28" ht="15" hidden="0" customHeight="1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</x:row>
    <x:row r="29" ht="15" hidden="0" customHeight="1">
      <x:c r="A29" s="81" t="str">
        <x:v>Gross new-client acquisition plan by month</x:v>
      </x:c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</x:row>
    <x:row r="30" ht="15" hidden="0" customHeight="1">
      <x:c r="A30" s="82" t="str">
        <x:v>Scenario</x:v>
      </x:c>
      <x:c r="B30" s="83" t="str">
        <x:v>M1</x:v>
      </x:c>
      <x:c r="C30" s="83" t="str">
        <x:v>M2</x:v>
      </x:c>
      <x:c r="D30" s="83" t="str">
        <x:v>M3</x:v>
      </x:c>
      <x:c r="E30" s="83" t="str">
        <x:v>M4</x:v>
      </x:c>
      <x:c r="F30" s="83" t="str">
        <x:v>M5</x:v>
      </x:c>
      <x:c r="G30" s="83" t="str">
        <x:v>M6</x:v>
      </x:c>
      <x:c r="H30" s="83" t="str">
        <x:v>M7</x:v>
      </x:c>
      <x:c r="I30" s="83" t="str">
        <x:v>M8</x:v>
      </x:c>
      <x:c r="J30" s="83" t="str">
        <x:v>M9</x:v>
      </x:c>
      <x:c r="K30" s="83" t="str">
        <x:v>M10</x:v>
      </x:c>
      <x:c r="L30" s="83" t="str">
        <x:v>M11</x:v>
      </x:c>
      <x:c r="M30" s="84" t="str">
        <x:v>M12</x:v>
      </x:c>
    </x:row>
    <x:row r="31" ht="15" hidden="0" customHeight="1">
      <x:c r="A31" s="88" t="str">
        <x:v>Conservative</x:v>
      </x:c>
      <x:c r="B31" s="140" t="n">
        <x:v>1</x:v>
      </x:c>
      <x:c r="C31" s="141" t="n">
        <x:v>1</x:v>
      </x:c>
      <x:c r="D31" s="141" t="n">
        <x:v>1</x:v>
      </x:c>
      <x:c r="E31" s="141" t="n">
        <x:v>2</x:v>
      </x:c>
      <x:c r="F31" s="141" t="n">
        <x:v>2</x:v>
      </x:c>
      <x:c r="G31" s="141" t="n">
        <x:v>2</x:v>
      </x:c>
      <x:c r="H31" s="141" t="n">
        <x:v>3</x:v>
      </x:c>
      <x:c r="I31" s="141" t="n">
        <x:v>3</x:v>
      </x:c>
      <x:c r="J31" s="141" t="n">
        <x:v>3</x:v>
      </x:c>
      <x:c r="K31" s="141" t="n">
        <x:v>4</x:v>
      </x:c>
      <x:c r="L31" s="141" t="n">
        <x:v>4</x:v>
      </x:c>
      <x:c r="M31" s="142" t="n">
        <x:v>4</x:v>
      </x:c>
    </x:row>
    <x:row r="32" ht="15" hidden="0" customHeight="1">
      <x:c r="A32" s="88" t="str">
        <x:v>Expected</x:v>
      </x:c>
      <x:c r="B32" s="143" t="n">
        <x:v>2</x:v>
      </x:c>
      <x:c r="C32" s="144" t="n">
        <x:v>2</x:v>
      </x:c>
      <x:c r="D32" s="144" t="n">
        <x:v>3</x:v>
      </x:c>
      <x:c r="E32" s="144" t="n">
        <x:v>3</x:v>
      </x:c>
      <x:c r="F32" s="144" t="n">
        <x:v>4</x:v>
      </x:c>
      <x:c r="G32" s="144" t="n">
        <x:v>4</x:v>
      </x:c>
      <x:c r="H32" s="144" t="n">
        <x:v>5</x:v>
      </x:c>
      <x:c r="I32" s="144" t="n">
        <x:v>5</x:v>
      </x:c>
      <x:c r="J32" s="144" t="n">
        <x:v>6</x:v>
      </x:c>
      <x:c r="K32" s="144" t="n">
        <x:v>6</x:v>
      </x:c>
      <x:c r="L32" s="144" t="n">
        <x:v>7</x:v>
      </x:c>
      <x:c r="M32" s="145" t="n">
        <x:v>7</x:v>
      </x:c>
    </x:row>
    <x:row r="33" ht="15" hidden="0" customHeight="1">
      <x:c r="A33" s="88" t="str">
        <x:v>Optimistic</x:v>
      </x:c>
      <x:c r="B33" s="146" t="n">
        <x:v>3</x:v>
      </x:c>
      <x:c r="C33" s="147" t="n">
        <x:v>4</x:v>
      </x:c>
      <x:c r="D33" s="147" t="n">
        <x:v>5</x:v>
      </x:c>
      <x:c r="E33" s="147" t="n">
        <x:v>6</x:v>
      </x:c>
      <x:c r="F33" s="147" t="n">
        <x:v>7</x:v>
      </x:c>
      <x:c r="G33" s="147" t="n">
        <x:v>8</x:v>
      </x:c>
      <x:c r="H33" s="147" t="n">
        <x:v>10</x:v>
      </x:c>
      <x:c r="I33" s="147" t="n">
        <x:v>12</x:v>
      </x:c>
      <x:c r="J33" s="147" t="n">
        <x:v>15</x:v>
      </x:c>
      <x:c r="K33" s="147" t="n">
        <x:v>18</x:v>
      </x:c>
      <x:c r="L33" s="147" t="n">
        <x:v>22</x:v>
      </x:c>
      <x:c r="M33" s="148" t="n">
        <x:v>25</x:v>
      </x:c>
    </x:row>
  </x:sheetData>
  <x:mergeCells>
    <x:mergeCell ref="A1:H1"/>
    <x:mergeCell ref="A8:H8"/>
    <x:mergeCell ref="B17:H17"/>
    <x:mergeCell ref="B18:H18"/>
    <x:mergeCell ref="A20:H20"/>
    <x:mergeCell ref="A29:M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19.200000762939453" hidden="0" customHeight="1">
      <x:c r="A1" s="165" t="str">
        <x:v>Client-Count Economics</x:v>
      </x:c>
      <x:c r="B1" s="166"/>
      <x:c r="C1" s="166"/>
      <x:c r="D1" s="166"/>
      <x:c r="E1" s="166"/>
      <x:c r="F1" s="166"/>
      <x:c r="G1" s="166"/>
      <x:c r="H1" s="166"/>
      <x:c r="I1" s="166"/>
      <x:c r="J1" s="166"/>
      <x:c r="K1" s="166"/>
      <x:c r="L1" s="166"/>
      <x:c r="M1" s="166"/>
    </x:row>
    <x:row r="2" ht="36" hidden="0" customHeight="1">
      <x:c r="A2" s="82" t="str">
        <x:v>Scenario</x:v>
      </x:c>
      <x:c r="B2" s="83" t="str">
        <x:v>Clients</x:v>
      </x:c>
      <x:c r="C2" s="83" t="str">
        <x:v>Monthly revenue</x:v>
      </x:c>
      <x:c r="D2" s="83" t="str">
        <x:v>ARR</x:v>
      </x:c>
      <x:c r="E2" s="83" t="str">
        <x:v>Stripe fees</x:v>
      </x:c>
      <x:c r="F2" s="83" t="str">
        <x:v>Other variable costs</x:v>
      </x:c>
      <x:c r="G2" s="83" t="str">
        <x:v>Fixed platform</x:v>
      </x:c>
      <x:c r="H2" s="83" t="str">
        <x:v>Business overhead</x:v>
      </x:c>
      <x:c r="I2" s="83" t="str">
        <x:v>Total monthly cost</x:v>
      </x:c>
      <x:c r="J2" s="83" t="str">
        <x:v>Gross profit</x:v>
      </x:c>
      <x:c r="K2" s="83" t="str">
        <x:v>Operating profit</x:v>
      </x:c>
      <x:c r="L2" s="83" t="str">
        <x:v>Operating margin</x:v>
      </x:c>
      <x:c r="M2" s="84" t="str">
        <x:v>Cost / client</x:v>
      </x:c>
    </x:row>
    <x:row r="3" ht="15" hidden="0" customHeight="1">
      <x:c r="A3" s="155" t="str">
        <x:v>Conservative</x:v>
      </x:c>
      <x:c r="B3" s="156" t="n">
        <x:v>0</x:v>
      </x:c>
      <x:c r="C3" s="157" t="n">
        <x:f>B3*'Assumptions'!$B$4</x:f>
        <x:v>0</x:v>
      </x:c>
      <x:c r="D3" s="157" t="n">
        <x:f>C3*12</x:f>
        <x:v>0</x:v>
      </x:c>
      <x:c r="E3" s="157" t="n">
        <x:f>B3*('Assumptions'!$B$4*'Assumptions'!$B$9+'Assumptions'!$B$10)</x:f>
        <x:v>0</x:v>
      </x:c>
      <x:c r="F3" s="157" t="n">
        <x:f>B3*SUM('Assumptions'!$E$4:$H$4)</x:f>
        <x:v>0</x:v>
      </x:c>
      <x:c r="G3" s="157" t="n">
        <x:f>IF(B3=0,'Assumptions'!$B$22,IF(B3&lt;=10,'Assumptions'!$B$22,IF(B3&lt;=25,'Assumptions'!$C$22,IF(B3&lt;=50,'Assumptions'!$D$22,IF(B3&lt;=100,'Assumptions'!$E$22,'Assumptions'!$F$22)))))</x:f>
        <x:v>80</x:v>
      </x:c>
      <x:c r="H3" s="157" t="n">
        <x:f>IF(B3=0,'Assumptions'!$B$25,IF(B3&lt;=10,'Assumptions'!$B$25,IF(B3&lt;=25,'Assumptions'!$C$25,IF(B3&lt;=50,'Assumptions'!$D$25,IF(B3&lt;=100,'Assumptions'!$E$25,'Assumptions'!$F$25)))))</x:f>
        <x:v>100</x:v>
      </x:c>
      <x:c r="I3" s="157" t="n">
        <x:f>SUM(E3:H3)</x:f>
        <x:v>180</x:v>
      </x:c>
      <x:c r="J3" s="157" t="n">
        <x:f>C3-E3-F3-G3</x:f>
        <x:v>-80</x:v>
      </x:c>
      <x:c r="K3" s="157" t="n">
        <x:f>C3-I3</x:f>
        <x:v>-180</x:v>
      </x:c>
      <x:c r="L3" s="158" t="n">
        <x:f>IF(C3=0,0,K3/C3)</x:f>
        <x:v>0</x:v>
      </x:c>
      <x:c r="M3" s="159" t="n">
        <x:f>IF(B3=0,0,I3/B3)</x:f>
        <x:v>0</x:v>
      </x:c>
    </x:row>
    <x:row r="4" ht="15" hidden="0" customHeight="1">
      <x:c r="A4" s="88" t="str">
        <x:v>Conservative</x:v>
      </x:c>
      <x:c r="B4" s="98" t="n">
        <x:v>5</x:v>
      </x:c>
      <x:c r="C4" s="99" t="n">
        <x:f>B4*'Assumptions'!$B$4</x:f>
        <x:v>400</x:v>
      </x:c>
      <x:c r="D4" s="99" t="n">
        <x:f>C4*12</x:f>
        <x:v>4800</x:v>
      </x:c>
      <x:c r="E4" s="99" t="n">
        <x:f>B4*('Assumptions'!$B$4*'Assumptions'!$B$9+'Assumptions'!$B$10)</x:f>
        <x:v>7.25</x:v>
      </x:c>
      <x:c r="F4" s="99" t="n">
        <x:f>B4*SUM('Assumptions'!$E$4:$H$4)</x:f>
        <x:v>24.5</x:v>
      </x:c>
      <x:c r="G4" s="99" t="n">
        <x:f>IF(B4=0,'Assumptions'!$B$22,IF(B4&lt;=10,'Assumptions'!$B$22,IF(B4&lt;=25,'Assumptions'!$C$22,IF(B4&lt;=50,'Assumptions'!$D$22,IF(B4&lt;=100,'Assumptions'!$E$22,'Assumptions'!$F$22)))))</x:f>
        <x:v>80</x:v>
      </x:c>
      <x:c r="H4" s="99" t="n">
        <x:f>IF(B4=0,'Assumptions'!$B$25,IF(B4&lt;=10,'Assumptions'!$B$25,IF(B4&lt;=25,'Assumptions'!$C$25,IF(B4&lt;=50,'Assumptions'!$D$25,IF(B4&lt;=100,'Assumptions'!$E$25,'Assumptions'!$F$25)))))</x:f>
        <x:v>100</x:v>
      </x:c>
      <x:c r="I4" s="99" t="n">
        <x:f>SUM(E4:H4)</x:f>
        <x:v>211.75</x:v>
      </x:c>
      <x:c r="J4" s="99" t="n">
        <x:f>C4-E4-F4-G4</x:f>
        <x:v>288.25</x:v>
      </x:c>
      <x:c r="K4" s="99" t="n">
        <x:f>C4-I4</x:f>
        <x:v>188.25</x:v>
      </x:c>
      <x:c r="L4" s="100" t="n">
        <x:f>IF(C4=0,0,K4/C4)</x:f>
        <x:v>0.470625</x:v>
      </x:c>
      <x:c r="M4" s="160" t="n">
        <x:f>IF(B4=0,0,I4/B4)</x:f>
        <x:v>42.35</x:v>
      </x:c>
    </x:row>
    <x:row r="5" ht="15" hidden="0" customHeight="1">
      <x:c r="A5" s="88" t="str">
        <x:v>Conservative</x:v>
      </x:c>
      <x:c r="B5" s="98" t="n">
        <x:v>10</x:v>
      </x:c>
      <x:c r="C5" s="99" t="n">
        <x:f>B5*'Assumptions'!$B$4</x:f>
        <x:v>800</x:v>
      </x:c>
      <x:c r="D5" s="99" t="n">
        <x:f>C5*12</x:f>
        <x:v>9600</x:v>
      </x:c>
      <x:c r="E5" s="99" t="n">
        <x:f>B5*('Assumptions'!$B$4*'Assumptions'!$B$9+'Assumptions'!$B$10)</x:f>
        <x:v>14.5</x:v>
      </x:c>
      <x:c r="F5" s="99" t="n">
        <x:f>B5*SUM('Assumptions'!$E$4:$H$4)</x:f>
        <x:v>49</x:v>
      </x:c>
      <x:c r="G5" s="99" t="n">
        <x:f>IF(B5=0,'Assumptions'!$B$22,IF(B5&lt;=10,'Assumptions'!$B$22,IF(B5&lt;=25,'Assumptions'!$C$22,IF(B5&lt;=50,'Assumptions'!$D$22,IF(B5&lt;=100,'Assumptions'!$E$22,'Assumptions'!$F$22)))))</x:f>
        <x:v>80</x:v>
      </x:c>
      <x:c r="H5" s="99" t="n">
        <x:f>IF(B5=0,'Assumptions'!$B$25,IF(B5&lt;=10,'Assumptions'!$B$25,IF(B5&lt;=25,'Assumptions'!$C$25,IF(B5&lt;=50,'Assumptions'!$D$25,IF(B5&lt;=100,'Assumptions'!$E$25,'Assumptions'!$F$25)))))</x:f>
        <x:v>100</x:v>
      </x:c>
      <x:c r="I5" s="99" t="n">
        <x:f>SUM(E5:H5)</x:f>
        <x:v>243.5</x:v>
      </x:c>
      <x:c r="J5" s="99" t="n">
        <x:f>C5-E5-F5-G5</x:f>
        <x:v>656.5</x:v>
      </x:c>
      <x:c r="K5" s="99" t="n">
        <x:f>C5-I5</x:f>
        <x:v>556.5</x:v>
      </x:c>
      <x:c r="L5" s="100" t="n">
        <x:f>IF(C5=0,0,K5/C5)</x:f>
        <x:v>0.695625</x:v>
      </x:c>
      <x:c r="M5" s="160" t="n">
        <x:f>IF(B5=0,0,I5/B5)</x:f>
        <x:v>24.35</x:v>
      </x:c>
    </x:row>
    <x:row r="6" ht="15" hidden="0" customHeight="1">
      <x:c r="A6" s="88" t="str">
        <x:v>Conservative</x:v>
      </x:c>
      <x:c r="B6" s="98" t="n">
        <x:v>25</x:v>
      </x:c>
      <x:c r="C6" s="99" t="n">
        <x:f>B6*'Assumptions'!$B$4</x:f>
        <x:v>2000</x:v>
      </x:c>
      <x:c r="D6" s="99" t="n">
        <x:f>C6*12</x:f>
        <x:v>24000</x:v>
      </x:c>
      <x:c r="E6" s="99" t="n">
        <x:f>B6*('Assumptions'!$B$4*'Assumptions'!$B$9+'Assumptions'!$B$10)</x:f>
        <x:v>36.25</x:v>
      </x:c>
      <x:c r="F6" s="99" t="n">
        <x:f>B6*SUM('Assumptions'!$E$4:$H$4)</x:f>
        <x:v>122.50000000000001</x:v>
      </x:c>
      <x:c r="G6" s="99" t="n">
        <x:f>IF(B6=0,'Assumptions'!$B$22,IF(B6&lt;=10,'Assumptions'!$B$22,IF(B6&lt;=25,'Assumptions'!$C$22,IF(B6&lt;=50,'Assumptions'!$D$22,IF(B6&lt;=100,'Assumptions'!$E$22,'Assumptions'!$F$22)))))</x:f>
        <x:v>120</x:v>
      </x:c>
      <x:c r="H6" s="99" t="n">
        <x:f>IF(B6=0,'Assumptions'!$B$25,IF(B6&lt;=10,'Assumptions'!$B$25,IF(B6&lt;=25,'Assumptions'!$C$25,IF(B6&lt;=50,'Assumptions'!$D$25,IF(B6&lt;=100,'Assumptions'!$E$25,'Assumptions'!$F$25)))))</x:f>
        <x:v>150</x:v>
      </x:c>
      <x:c r="I6" s="99" t="n">
        <x:f>SUM(E6:H6)</x:f>
        <x:v>428.75</x:v>
      </x:c>
      <x:c r="J6" s="99" t="n">
        <x:f>C6-E6-F6-G6</x:f>
        <x:v>1721.25</x:v>
      </x:c>
      <x:c r="K6" s="99" t="n">
        <x:f>C6-I6</x:f>
        <x:v>1571.25</x:v>
      </x:c>
      <x:c r="L6" s="100" t="n">
        <x:f>IF(C6=0,0,K6/C6)</x:f>
        <x:v>0.785625</x:v>
      </x:c>
      <x:c r="M6" s="160" t="n">
        <x:f>IF(B6=0,0,I6/B6)</x:f>
        <x:v>17.15</x:v>
      </x:c>
    </x:row>
    <x:row r="7" ht="15" hidden="0" customHeight="1">
      <x:c r="A7" s="88" t="str">
        <x:v>Conservative</x:v>
      </x:c>
      <x:c r="B7" s="98" t="n">
        <x:v>50</x:v>
      </x:c>
      <x:c r="C7" s="99" t="n">
        <x:f>B7*'Assumptions'!$B$4</x:f>
        <x:v>4000</x:v>
      </x:c>
      <x:c r="D7" s="99" t="n">
        <x:f>C7*12</x:f>
        <x:v>48000</x:v>
      </x:c>
      <x:c r="E7" s="99" t="n">
        <x:f>B7*('Assumptions'!$B$4*'Assumptions'!$B$9+'Assumptions'!$B$10)</x:f>
        <x:v>72.5</x:v>
      </x:c>
      <x:c r="F7" s="99" t="n">
        <x:f>B7*SUM('Assumptions'!$E$4:$H$4)</x:f>
        <x:v>245.00000000000003</x:v>
      </x:c>
      <x:c r="G7" s="99" t="n">
        <x:f>IF(B7=0,'Assumptions'!$B$22,IF(B7&lt;=10,'Assumptions'!$B$22,IF(B7&lt;=25,'Assumptions'!$C$22,IF(B7&lt;=50,'Assumptions'!$D$22,IF(B7&lt;=100,'Assumptions'!$E$22,'Assumptions'!$F$22)))))</x:f>
        <x:v>180</x:v>
      </x:c>
      <x:c r="H7" s="99" t="n">
        <x:f>IF(B7=0,'Assumptions'!$B$25,IF(B7&lt;=10,'Assumptions'!$B$25,IF(B7&lt;=25,'Assumptions'!$C$25,IF(B7&lt;=50,'Assumptions'!$D$25,IF(B7&lt;=100,'Assumptions'!$E$25,'Assumptions'!$F$25)))))</x:f>
        <x:v>250</x:v>
      </x:c>
      <x:c r="I7" s="99" t="n">
        <x:f>SUM(E7:H7)</x:f>
        <x:v>747.5</x:v>
      </x:c>
      <x:c r="J7" s="99" t="n">
        <x:f>C7-E7-F7-G7</x:f>
        <x:v>3502.5</x:v>
      </x:c>
      <x:c r="K7" s="99" t="n">
        <x:f>C7-I7</x:f>
        <x:v>3252.5</x:v>
      </x:c>
      <x:c r="L7" s="100" t="n">
        <x:f>IF(C7=0,0,K7/C7)</x:f>
        <x:v>0.813125</x:v>
      </x:c>
      <x:c r="M7" s="160" t="n">
        <x:f>IF(B7=0,0,I7/B7)</x:f>
        <x:v>14.95</x:v>
      </x:c>
    </x:row>
    <x:row r="8" ht="15" hidden="0" customHeight="1">
      <x:c r="A8" s="88" t="str">
        <x:v>Conservative</x:v>
      </x:c>
      <x:c r="B8" s="98" t="n">
        <x:v>100</x:v>
      </x:c>
      <x:c r="C8" s="99" t="n">
        <x:f>B8*'Assumptions'!$B$4</x:f>
        <x:v>8000</x:v>
      </x:c>
      <x:c r="D8" s="99" t="n">
        <x:f>C8*12</x:f>
        <x:v>96000</x:v>
      </x:c>
      <x:c r="E8" s="99" t="n">
        <x:f>B8*('Assumptions'!$B$4*'Assumptions'!$B$9+'Assumptions'!$B$10)</x:f>
        <x:v>145</x:v>
      </x:c>
      <x:c r="F8" s="99" t="n">
        <x:f>B8*SUM('Assumptions'!$E$4:$H$4)</x:f>
        <x:v>490.00000000000006</x:v>
      </x:c>
      <x:c r="G8" s="99" t="n">
        <x:f>IF(B8=0,'Assumptions'!$B$22,IF(B8&lt;=10,'Assumptions'!$B$22,IF(B8&lt;=25,'Assumptions'!$C$22,IF(B8&lt;=50,'Assumptions'!$D$22,IF(B8&lt;=100,'Assumptions'!$E$22,'Assumptions'!$F$22)))))</x:f>
        <x:v>300</x:v>
      </x:c>
      <x:c r="H8" s="99" t="n">
        <x:f>IF(B8=0,'Assumptions'!$B$25,IF(B8&lt;=10,'Assumptions'!$B$25,IF(B8&lt;=25,'Assumptions'!$C$25,IF(B8&lt;=50,'Assumptions'!$D$25,IF(B8&lt;=100,'Assumptions'!$E$25,'Assumptions'!$F$25)))))</x:f>
        <x:v>450</x:v>
      </x:c>
      <x:c r="I8" s="99" t="n">
        <x:f>SUM(E8:H8)</x:f>
        <x:v>1385</x:v>
      </x:c>
      <x:c r="J8" s="99" t="n">
        <x:f>C8-E8-F8-G8</x:f>
        <x:v>7065</x:v>
      </x:c>
      <x:c r="K8" s="99" t="n">
        <x:f>C8-I8</x:f>
        <x:v>6615</x:v>
      </x:c>
      <x:c r="L8" s="100" t="n">
        <x:f>IF(C8=0,0,K8/C8)</x:f>
        <x:v>0.826875</x:v>
      </x:c>
      <x:c r="M8" s="160" t="n">
        <x:f>IF(B8=0,0,I8/B8)</x:f>
        <x:v>13.85</x:v>
      </x:c>
    </x:row>
    <x:row r="9" ht="15" hidden="0" customHeight="1">
      <x:c r="A9" s="88" t="str">
        <x:v>Conservative</x:v>
      </x:c>
      <x:c r="B9" s="98" t="n">
        <x:v>300</x:v>
      </x:c>
      <x:c r="C9" s="99" t="n">
        <x:f>B9*'Assumptions'!$B$4</x:f>
        <x:v>24000</x:v>
      </x:c>
      <x:c r="D9" s="99" t="n">
        <x:f>C9*12</x:f>
        <x:v>288000</x:v>
      </x:c>
      <x:c r="E9" s="99" t="n">
        <x:f>B9*('Assumptions'!$B$4*'Assumptions'!$B$9+'Assumptions'!$B$10)</x:f>
        <x:v>435</x:v>
      </x:c>
      <x:c r="F9" s="99" t="n">
        <x:f>B9*SUM('Assumptions'!$E$4:$H$4)</x:f>
        <x:v>1470</x:v>
      </x:c>
      <x:c r="G9" s="99" t="n">
        <x:f>IF(B9=0,'Assumptions'!$B$22,IF(B9&lt;=10,'Assumptions'!$B$22,IF(B9&lt;=25,'Assumptions'!$C$22,IF(B9&lt;=50,'Assumptions'!$D$22,IF(B9&lt;=100,'Assumptions'!$E$22,'Assumptions'!$F$22)))))</x:f>
        <x:v>650</x:v>
      </x:c>
      <x:c r="H9" s="99" t="n">
        <x:f>IF(B9=0,'Assumptions'!$B$25,IF(B9&lt;=10,'Assumptions'!$B$25,IF(B9&lt;=25,'Assumptions'!$C$25,IF(B9&lt;=50,'Assumptions'!$D$25,IF(B9&lt;=100,'Assumptions'!$E$25,'Assumptions'!$F$25)))))</x:f>
        <x:v>900</x:v>
      </x:c>
      <x:c r="I9" s="99" t="n">
        <x:f>SUM(E9:H9)</x:f>
        <x:v>3455</x:v>
      </x:c>
      <x:c r="J9" s="99" t="n">
        <x:f>C9-E9-F9-G9</x:f>
        <x:v>21445</x:v>
      </x:c>
      <x:c r="K9" s="99" t="n">
        <x:f>C9-I9</x:f>
        <x:v>20545</x:v>
      </x:c>
      <x:c r="L9" s="100" t="n">
        <x:f>IF(C9=0,0,K9/C9)</x:f>
        <x:v>0.8560416666666667</x:v>
      </x:c>
      <x:c r="M9" s="160" t="n">
        <x:f>IF(B9=0,0,I9/B9)</x:f>
        <x:v>11.516666666666667</x:v>
      </x:c>
    </x:row>
    <x:row r="10" ht="15" hidden="0" customHeight="1">
      <x:c r="A10" s="155" t="str">
        <x:v>Expected</x:v>
      </x:c>
      <x:c r="B10" s="156" t="n">
        <x:v>0</x:v>
      </x:c>
      <x:c r="C10" s="157" t="n">
        <x:f>B10*'Assumptions'!$B$5</x:f>
        <x:v>0</x:v>
      </x:c>
      <x:c r="D10" s="157" t="n">
        <x:f>C10*12</x:f>
        <x:v>0</x:v>
      </x:c>
      <x:c r="E10" s="157" t="n">
        <x:f>B10*('Assumptions'!$B$5*'Assumptions'!$B$9+'Assumptions'!$B$10)</x:f>
        <x:v>0</x:v>
      </x:c>
      <x:c r="F10" s="157" t="n">
        <x:f>B10*SUM('Assumptions'!$E$5:$H$5)</x:f>
        <x:v>0</x:v>
      </x:c>
      <x:c r="G10" s="157" t="n">
        <x:f>IF(B10=0,'Assumptions'!$B$23,IF(B10&lt;=10,'Assumptions'!$B$23,IF(B10&lt;=25,'Assumptions'!$C$23,IF(B10&lt;=50,'Assumptions'!$D$23,IF(B10&lt;=100,'Assumptions'!$E$23,'Assumptions'!$F$23)))))</x:f>
        <x:v>45</x:v>
      </x:c>
      <x:c r="H10" s="157" t="n">
        <x:f>IF(B10=0,'Assumptions'!$B$26,IF(B10&lt;=10,'Assumptions'!$B$26,IF(B10&lt;=25,'Assumptions'!$C$26,IF(B10&lt;=50,'Assumptions'!$D$26,IF(B10&lt;=100,'Assumptions'!$E$26,'Assumptions'!$F$26)))))</x:f>
        <x:v>75</x:v>
      </x:c>
      <x:c r="I10" s="157" t="n">
        <x:f>SUM(E10:H10)</x:f>
        <x:v>120</x:v>
      </x:c>
      <x:c r="J10" s="157" t="n">
        <x:f>C10-E10-F10-G10</x:f>
        <x:v>-45</x:v>
      </x:c>
      <x:c r="K10" s="157" t="n">
        <x:f>C10-I10</x:f>
        <x:v>-120</x:v>
      </x:c>
      <x:c r="L10" s="158" t="n">
        <x:f>IF(C10=0,0,K10/C10)</x:f>
        <x:v>0</x:v>
      </x:c>
      <x:c r="M10" s="159" t="n">
        <x:f>IF(B10=0,0,I10/B10)</x:f>
        <x:v>0</x:v>
      </x:c>
    </x:row>
    <x:row r="11" ht="15" hidden="0" customHeight="1">
      <x:c r="A11" s="88" t="str">
        <x:v>Expected</x:v>
      </x:c>
      <x:c r="B11" s="98" t="n">
        <x:v>5</x:v>
      </x:c>
      <x:c r="C11" s="99" t="n">
        <x:f>B11*'Assumptions'!$B$5</x:f>
        <x:v>400</x:v>
      </x:c>
      <x:c r="D11" s="99" t="n">
        <x:f>C11*12</x:f>
        <x:v>4800</x:v>
      </x:c>
      <x:c r="E11" s="99" t="n">
        <x:f>B11*('Assumptions'!$B$5*'Assumptions'!$B$9+'Assumptions'!$B$10)</x:f>
        <x:v>7.25</x:v>
      </x:c>
      <x:c r="F11" s="99" t="n">
        <x:f>B11*SUM('Assumptions'!$E$5:$H$5)</x:f>
        <x:v>12.75</x:v>
      </x:c>
      <x:c r="G11" s="99" t="n">
        <x:f>IF(B11=0,'Assumptions'!$B$23,IF(B11&lt;=10,'Assumptions'!$B$23,IF(B11&lt;=25,'Assumptions'!$C$23,IF(B11&lt;=50,'Assumptions'!$D$23,IF(B11&lt;=100,'Assumptions'!$E$23,'Assumptions'!$F$23)))))</x:f>
        <x:v>45</x:v>
      </x:c>
      <x:c r="H11" s="99" t="n">
        <x:f>IF(B11=0,'Assumptions'!$B$26,IF(B11&lt;=10,'Assumptions'!$B$26,IF(B11&lt;=25,'Assumptions'!$C$26,IF(B11&lt;=50,'Assumptions'!$D$26,IF(B11&lt;=100,'Assumptions'!$E$26,'Assumptions'!$F$26)))))</x:f>
        <x:v>75</x:v>
      </x:c>
      <x:c r="I11" s="99" t="n">
        <x:f>SUM(E11:H11)</x:f>
        <x:v>140</x:v>
      </x:c>
      <x:c r="J11" s="99" t="n">
        <x:f>C11-E11-F11-G11</x:f>
        <x:v>335</x:v>
      </x:c>
      <x:c r="K11" s="99" t="n">
        <x:f>C11-I11</x:f>
        <x:v>260</x:v>
      </x:c>
      <x:c r="L11" s="100" t="n">
        <x:f>IF(C11=0,0,K11/C11)</x:f>
        <x:v>0.65</x:v>
      </x:c>
      <x:c r="M11" s="160" t="n">
        <x:f>IF(B11=0,0,I11/B11)</x:f>
        <x:v>28</x:v>
      </x:c>
    </x:row>
    <x:row r="12" ht="15" hidden="0" customHeight="1">
      <x:c r="A12" s="88" t="str">
        <x:v>Expected</x:v>
      </x:c>
      <x:c r="B12" s="98" t="n">
        <x:v>10</x:v>
      </x:c>
      <x:c r="C12" s="99" t="n">
        <x:f>B12*'Assumptions'!$B$5</x:f>
        <x:v>800</x:v>
      </x:c>
      <x:c r="D12" s="99" t="n">
        <x:f>C12*12</x:f>
        <x:v>9600</x:v>
      </x:c>
      <x:c r="E12" s="99" t="n">
        <x:f>B12*('Assumptions'!$B$5*'Assumptions'!$B$9+'Assumptions'!$B$10)</x:f>
        <x:v>14.5</x:v>
      </x:c>
      <x:c r="F12" s="99" t="n">
        <x:f>B12*SUM('Assumptions'!$E$5:$H$5)</x:f>
        <x:v>25.5</x:v>
      </x:c>
      <x:c r="G12" s="99" t="n">
        <x:f>IF(B12=0,'Assumptions'!$B$23,IF(B12&lt;=10,'Assumptions'!$B$23,IF(B12&lt;=25,'Assumptions'!$C$23,IF(B12&lt;=50,'Assumptions'!$D$23,IF(B12&lt;=100,'Assumptions'!$E$23,'Assumptions'!$F$23)))))</x:f>
        <x:v>45</x:v>
      </x:c>
      <x:c r="H12" s="99" t="n">
        <x:f>IF(B12=0,'Assumptions'!$B$26,IF(B12&lt;=10,'Assumptions'!$B$26,IF(B12&lt;=25,'Assumptions'!$C$26,IF(B12&lt;=50,'Assumptions'!$D$26,IF(B12&lt;=100,'Assumptions'!$E$26,'Assumptions'!$F$26)))))</x:f>
        <x:v>75</x:v>
      </x:c>
      <x:c r="I12" s="99" t="n">
        <x:f>SUM(E12:H12)</x:f>
        <x:v>160</x:v>
      </x:c>
      <x:c r="J12" s="99" t="n">
        <x:f>C12-E12-F12-G12</x:f>
        <x:v>715</x:v>
      </x:c>
      <x:c r="K12" s="99" t="n">
        <x:f>C12-I12</x:f>
        <x:v>640</x:v>
      </x:c>
      <x:c r="L12" s="100" t="n">
        <x:f>IF(C12=0,0,K12/C12)</x:f>
        <x:v>0.8</x:v>
      </x:c>
      <x:c r="M12" s="160" t="n">
        <x:f>IF(B12=0,0,I12/B12)</x:f>
        <x:v>16</x:v>
      </x:c>
    </x:row>
    <x:row r="13" ht="15" hidden="0" customHeight="1">
      <x:c r="A13" s="88" t="str">
        <x:v>Expected</x:v>
      </x:c>
      <x:c r="B13" s="98" t="n">
        <x:v>25</x:v>
      </x:c>
      <x:c r="C13" s="99" t="n">
        <x:f>B13*'Assumptions'!$B$5</x:f>
        <x:v>2000</x:v>
      </x:c>
      <x:c r="D13" s="99" t="n">
        <x:f>C13*12</x:f>
        <x:v>24000</x:v>
      </x:c>
      <x:c r="E13" s="99" t="n">
        <x:f>B13*('Assumptions'!$B$5*'Assumptions'!$B$9+'Assumptions'!$B$10)</x:f>
        <x:v>36.25</x:v>
      </x:c>
      <x:c r="F13" s="99" t="n">
        <x:f>B13*SUM('Assumptions'!$E$5:$H$5)</x:f>
        <x:v>63.74999999999999</x:v>
      </x:c>
      <x:c r="G13" s="99" t="n">
        <x:f>IF(B13=0,'Assumptions'!$B$23,IF(B13&lt;=10,'Assumptions'!$B$23,IF(B13&lt;=25,'Assumptions'!$C$23,IF(B13&lt;=50,'Assumptions'!$D$23,IF(B13&lt;=100,'Assumptions'!$E$23,'Assumptions'!$F$23)))))</x:f>
        <x:v>70</x:v>
      </x:c>
      <x:c r="H13" s="99" t="n">
        <x:f>IF(B13=0,'Assumptions'!$B$26,IF(B13&lt;=10,'Assumptions'!$B$26,IF(B13&lt;=25,'Assumptions'!$C$26,IF(B13&lt;=50,'Assumptions'!$D$26,IF(B13&lt;=100,'Assumptions'!$E$26,'Assumptions'!$F$26)))))</x:f>
        <x:v>100</x:v>
      </x:c>
      <x:c r="I13" s="99" t="n">
        <x:f>SUM(E13:H13)</x:f>
        <x:v>270</x:v>
      </x:c>
      <x:c r="J13" s="99" t="n">
        <x:f>C13-E13-F13-G13</x:f>
        <x:v>1830</x:v>
      </x:c>
      <x:c r="K13" s="99" t="n">
        <x:f>C13-I13</x:f>
        <x:v>1730</x:v>
      </x:c>
      <x:c r="L13" s="100" t="n">
        <x:f>IF(C13=0,0,K13/C13)</x:f>
        <x:v>0.865</x:v>
      </x:c>
      <x:c r="M13" s="160" t="n">
        <x:f>IF(B13=0,0,I13/B13)</x:f>
        <x:v>10.8</x:v>
      </x:c>
    </x:row>
    <x:row r="14" ht="15" hidden="0" customHeight="1">
      <x:c r="A14" s="88" t="str">
        <x:v>Expected</x:v>
      </x:c>
      <x:c r="B14" s="98" t="n">
        <x:v>50</x:v>
      </x:c>
      <x:c r="C14" s="99" t="n">
        <x:f>B14*'Assumptions'!$B$5</x:f>
        <x:v>4000</x:v>
      </x:c>
      <x:c r="D14" s="99" t="n">
        <x:f>C14*12</x:f>
        <x:v>48000</x:v>
      </x:c>
      <x:c r="E14" s="99" t="n">
        <x:f>B14*('Assumptions'!$B$5*'Assumptions'!$B$9+'Assumptions'!$B$10)</x:f>
        <x:v>72.5</x:v>
      </x:c>
      <x:c r="F14" s="99" t="n">
        <x:f>B14*SUM('Assumptions'!$E$5:$H$5)</x:f>
        <x:v>127.49999999999999</x:v>
      </x:c>
      <x:c r="G14" s="99" t="n">
        <x:f>IF(B14=0,'Assumptions'!$B$23,IF(B14&lt;=10,'Assumptions'!$B$23,IF(B14&lt;=25,'Assumptions'!$C$23,IF(B14&lt;=50,'Assumptions'!$D$23,IF(B14&lt;=100,'Assumptions'!$E$23,'Assumptions'!$F$23)))))</x:f>
        <x:v>110</x:v>
      </x:c>
      <x:c r="H14" s="99" t="n">
        <x:f>IF(B14=0,'Assumptions'!$B$26,IF(B14&lt;=10,'Assumptions'!$B$26,IF(B14&lt;=25,'Assumptions'!$C$26,IF(B14&lt;=50,'Assumptions'!$D$26,IF(B14&lt;=100,'Assumptions'!$E$26,'Assumptions'!$F$26)))))</x:f>
        <x:v>180</x:v>
      </x:c>
      <x:c r="I14" s="99" t="n">
        <x:f>SUM(E14:H14)</x:f>
        <x:v>490</x:v>
      </x:c>
      <x:c r="J14" s="99" t="n">
        <x:f>C14-E14-F14-G14</x:f>
        <x:v>3690</x:v>
      </x:c>
      <x:c r="K14" s="99" t="n">
        <x:f>C14-I14</x:f>
        <x:v>3510</x:v>
      </x:c>
      <x:c r="L14" s="100" t="n">
        <x:f>IF(C14=0,0,K14/C14)</x:f>
        <x:v>0.8775</x:v>
      </x:c>
      <x:c r="M14" s="160" t="n">
        <x:f>IF(B14=0,0,I14/B14)</x:f>
        <x:v>9.8</x:v>
      </x:c>
    </x:row>
    <x:row r="15" ht="15" hidden="0" customHeight="1">
      <x:c r="A15" s="88" t="str">
        <x:v>Expected</x:v>
      </x:c>
      <x:c r="B15" s="98" t="n">
        <x:v>100</x:v>
      </x:c>
      <x:c r="C15" s="99" t="n">
        <x:f>B15*'Assumptions'!$B$5</x:f>
        <x:v>8000</x:v>
      </x:c>
      <x:c r="D15" s="99" t="n">
        <x:f>C15*12</x:f>
        <x:v>96000</x:v>
      </x:c>
      <x:c r="E15" s="99" t="n">
        <x:f>B15*('Assumptions'!$B$5*'Assumptions'!$B$9+'Assumptions'!$B$10)</x:f>
        <x:v>145</x:v>
      </x:c>
      <x:c r="F15" s="99" t="n">
        <x:f>B15*SUM('Assumptions'!$E$5:$H$5)</x:f>
        <x:v>254.99999999999997</x:v>
      </x:c>
      <x:c r="G15" s="99" t="n">
        <x:f>IF(B15=0,'Assumptions'!$B$23,IF(B15&lt;=10,'Assumptions'!$B$23,IF(B15&lt;=25,'Assumptions'!$C$23,IF(B15&lt;=50,'Assumptions'!$D$23,IF(B15&lt;=100,'Assumptions'!$E$23,'Assumptions'!$F$23)))))</x:f>
        <x:v>180</x:v>
      </x:c>
      <x:c r="H15" s="99" t="n">
        <x:f>IF(B15=0,'Assumptions'!$B$26,IF(B15&lt;=10,'Assumptions'!$B$26,IF(B15&lt;=25,'Assumptions'!$C$26,IF(B15&lt;=50,'Assumptions'!$D$26,IF(B15&lt;=100,'Assumptions'!$E$26,'Assumptions'!$F$26)))))</x:f>
        <x:v>350</x:v>
      </x:c>
      <x:c r="I15" s="99" t="n">
        <x:f>SUM(E15:H15)</x:f>
        <x:v>930</x:v>
      </x:c>
      <x:c r="J15" s="99" t="n">
        <x:f>C15-E15-F15-G15</x:f>
        <x:v>7420</x:v>
      </x:c>
      <x:c r="K15" s="99" t="n">
        <x:f>C15-I15</x:f>
        <x:v>7070</x:v>
      </x:c>
      <x:c r="L15" s="100" t="n">
        <x:f>IF(C15=0,0,K15/C15)</x:f>
        <x:v>0.88375</x:v>
      </x:c>
      <x:c r="M15" s="160" t="n">
        <x:f>IF(B15=0,0,I15/B15)</x:f>
        <x:v>9.3</x:v>
      </x:c>
    </x:row>
    <x:row r="16" ht="15" hidden="0" customHeight="1">
      <x:c r="A16" s="88" t="str">
        <x:v>Expected</x:v>
      </x:c>
      <x:c r="B16" s="98" t="n">
        <x:v>300</x:v>
      </x:c>
      <x:c r="C16" s="99" t="n">
        <x:f>B16*'Assumptions'!$B$5</x:f>
        <x:v>24000</x:v>
      </x:c>
      <x:c r="D16" s="99" t="n">
        <x:f>C16*12</x:f>
        <x:v>288000</x:v>
      </x:c>
      <x:c r="E16" s="99" t="n">
        <x:f>B16*('Assumptions'!$B$5*'Assumptions'!$B$9+'Assumptions'!$B$10)</x:f>
        <x:v>435</x:v>
      </x:c>
      <x:c r="F16" s="99" t="n">
        <x:f>B16*SUM('Assumptions'!$E$5:$H$5)</x:f>
        <x:v>765</x:v>
      </x:c>
      <x:c r="G16" s="99" t="n">
        <x:f>IF(B16=0,'Assumptions'!$B$23,IF(B16&lt;=10,'Assumptions'!$B$23,IF(B16&lt;=25,'Assumptions'!$C$23,IF(B16&lt;=50,'Assumptions'!$D$23,IF(B16&lt;=100,'Assumptions'!$E$23,'Assumptions'!$F$23)))))</x:f>
        <x:v>450</x:v>
      </x:c>
      <x:c r="H16" s="99" t="n">
        <x:f>IF(B16=0,'Assumptions'!$B$26,IF(B16&lt;=10,'Assumptions'!$B$26,IF(B16&lt;=25,'Assumptions'!$C$26,IF(B16&lt;=50,'Assumptions'!$D$26,IF(B16&lt;=100,'Assumptions'!$E$26,'Assumptions'!$F$26)))))</x:f>
        <x:v>750</x:v>
      </x:c>
      <x:c r="I16" s="99" t="n">
        <x:f>SUM(E16:H16)</x:f>
        <x:v>2400</x:v>
      </x:c>
      <x:c r="J16" s="99" t="n">
        <x:f>C16-E16-F16-G16</x:f>
        <x:v>22350</x:v>
      </x:c>
      <x:c r="K16" s="99" t="n">
        <x:f>C16-I16</x:f>
        <x:v>21600</x:v>
      </x:c>
      <x:c r="L16" s="100" t="n">
        <x:f>IF(C16=0,0,K16/C16)</x:f>
        <x:v>0.9</x:v>
      </x:c>
      <x:c r="M16" s="160" t="n">
        <x:f>IF(B16=0,0,I16/B16)</x:f>
        <x:v>8</x:v>
      </x:c>
    </x:row>
    <x:row r="17" ht="15" hidden="0" customHeight="1">
      <x:c r="A17" s="155" t="str">
        <x:v>Optimistic</x:v>
      </x:c>
      <x:c r="B17" s="156" t="n">
        <x:v>0</x:v>
      </x:c>
      <x:c r="C17" s="157" t="n">
        <x:f>B17*'Assumptions'!$B$6</x:f>
        <x:v>0</x:v>
      </x:c>
      <x:c r="D17" s="157" t="n">
        <x:f>C17*12</x:f>
        <x:v>0</x:v>
      </x:c>
      <x:c r="E17" s="157" t="n">
        <x:f>B17*('Assumptions'!$B$6*'Assumptions'!$B$9+'Assumptions'!$B$10)</x:f>
        <x:v>0</x:v>
      </x:c>
      <x:c r="F17" s="157" t="n">
        <x:f>B17*SUM('Assumptions'!$E$6:$H$6)</x:f>
        <x:v>0</x:v>
      </x:c>
      <x:c r="G17" s="157" t="n">
        <x:f>IF(B17=0,'Assumptions'!$B$24,IF(B17&lt;=10,'Assumptions'!$B$24,IF(B17&lt;=25,'Assumptions'!$C$24,IF(B17&lt;=50,'Assumptions'!$D$24,IF(B17&lt;=100,'Assumptions'!$E$24,'Assumptions'!$F$24)))))</x:f>
        <x:v>30</x:v>
      </x:c>
      <x:c r="H17" s="157" t="n">
        <x:f>IF(B17=0,'Assumptions'!$B$27,IF(B17&lt;=10,'Assumptions'!$B$27,IF(B17&lt;=25,'Assumptions'!$C$27,IF(B17&lt;=50,'Assumptions'!$D$27,IF(B17&lt;=100,'Assumptions'!$E$27,'Assumptions'!$F$27)))))</x:f>
        <x:v>50</x:v>
      </x:c>
      <x:c r="I17" s="157" t="n">
        <x:f>SUM(E17:H17)</x:f>
        <x:v>80</x:v>
      </x:c>
      <x:c r="J17" s="157" t="n">
        <x:f>C17-E17-F17-G17</x:f>
        <x:v>-30</x:v>
      </x:c>
      <x:c r="K17" s="157" t="n">
        <x:f>C17-I17</x:f>
        <x:v>-80</x:v>
      </x:c>
      <x:c r="L17" s="158" t="n">
        <x:f>IF(C17=0,0,K17/C17)</x:f>
        <x:v>0</x:v>
      </x:c>
      <x:c r="M17" s="159" t="n">
        <x:f>IF(B17=0,0,I17/B17)</x:f>
        <x:v>0</x:v>
      </x:c>
    </x:row>
    <x:row r="18" ht="15" hidden="0" customHeight="1">
      <x:c r="A18" s="88" t="str">
        <x:v>Optimistic</x:v>
      </x:c>
      <x:c r="B18" s="98" t="n">
        <x:v>5</x:v>
      </x:c>
      <x:c r="C18" s="99" t="n">
        <x:f>B18*'Assumptions'!$B$6</x:f>
        <x:v>400</x:v>
      </x:c>
      <x:c r="D18" s="99" t="n">
        <x:f>C18*12</x:f>
        <x:v>4800</x:v>
      </x:c>
      <x:c r="E18" s="99" t="n">
        <x:f>B18*('Assumptions'!$B$6*'Assumptions'!$B$9+'Assumptions'!$B$10)</x:f>
        <x:v>7.25</x:v>
      </x:c>
      <x:c r="F18" s="99" t="n">
        <x:f>B18*SUM('Assumptions'!$E$6:$H$6)</x:f>
        <x:v>6.499999999999999</x:v>
      </x:c>
      <x:c r="G18" s="99" t="n">
        <x:f>IF(B18=0,'Assumptions'!$B$24,IF(B18&lt;=10,'Assumptions'!$B$24,IF(B18&lt;=25,'Assumptions'!$C$24,IF(B18&lt;=50,'Assumptions'!$D$24,IF(B18&lt;=100,'Assumptions'!$E$24,'Assumptions'!$F$24)))))</x:f>
        <x:v>30</x:v>
      </x:c>
      <x:c r="H18" s="99" t="n">
        <x:f>IF(B18=0,'Assumptions'!$B$27,IF(B18&lt;=10,'Assumptions'!$B$27,IF(B18&lt;=25,'Assumptions'!$C$27,IF(B18&lt;=50,'Assumptions'!$D$27,IF(B18&lt;=100,'Assumptions'!$E$27,'Assumptions'!$F$27)))))</x:f>
        <x:v>50</x:v>
      </x:c>
      <x:c r="I18" s="99" t="n">
        <x:f>SUM(E18:H18)</x:f>
        <x:v>93.75</x:v>
      </x:c>
      <x:c r="J18" s="99" t="n">
        <x:f>C18-E18-F18-G18</x:f>
        <x:v>356.25</x:v>
      </x:c>
      <x:c r="K18" s="99" t="n">
        <x:f>C18-I18</x:f>
        <x:v>306.25</x:v>
      </x:c>
      <x:c r="L18" s="100" t="n">
        <x:f>IF(C18=0,0,K18/C18)</x:f>
        <x:v>0.765625</x:v>
      </x:c>
      <x:c r="M18" s="160" t="n">
        <x:f>IF(B18=0,0,I18/B18)</x:f>
        <x:v>18.75</x:v>
      </x:c>
    </x:row>
    <x:row r="19" ht="15" hidden="0" customHeight="1">
      <x:c r="A19" s="88" t="str">
        <x:v>Optimistic</x:v>
      </x:c>
      <x:c r="B19" s="98" t="n">
        <x:v>10</x:v>
      </x:c>
      <x:c r="C19" s="99" t="n">
        <x:f>B19*'Assumptions'!$B$6</x:f>
        <x:v>800</x:v>
      </x:c>
      <x:c r="D19" s="99" t="n">
        <x:f>C19*12</x:f>
        <x:v>9600</x:v>
      </x:c>
      <x:c r="E19" s="99" t="n">
        <x:f>B19*('Assumptions'!$B$6*'Assumptions'!$B$9+'Assumptions'!$B$10)</x:f>
        <x:v>14.5</x:v>
      </x:c>
      <x:c r="F19" s="99" t="n">
        <x:f>B19*SUM('Assumptions'!$E$6:$H$6)</x:f>
        <x:v>12.999999999999998</x:v>
      </x:c>
      <x:c r="G19" s="99" t="n">
        <x:f>IF(B19=0,'Assumptions'!$B$24,IF(B19&lt;=10,'Assumptions'!$B$24,IF(B19&lt;=25,'Assumptions'!$C$24,IF(B19&lt;=50,'Assumptions'!$D$24,IF(B19&lt;=100,'Assumptions'!$E$24,'Assumptions'!$F$24)))))</x:f>
        <x:v>30</x:v>
      </x:c>
      <x:c r="H19" s="99" t="n">
        <x:f>IF(B19=0,'Assumptions'!$B$27,IF(B19&lt;=10,'Assumptions'!$B$27,IF(B19&lt;=25,'Assumptions'!$C$27,IF(B19&lt;=50,'Assumptions'!$D$27,IF(B19&lt;=100,'Assumptions'!$E$27,'Assumptions'!$F$27)))))</x:f>
        <x:v>50</x:v>
      </x:c>
      <x:c r="I19" s="99" t="n">
        <x:f>SUM(E19:H19)</x:f>
        <x:v>107.5</x:v>
      </x:c>
      <x:c r="J19" s="99" t="n">
        <x:f>C19-E19-F19-G19</x:f>
        <x:v>742.5</x:v>
      </x:c>
      <x:c r="K19" s="99" t="n">
        <x:f>C19-I19</x:f>
        <x:v>692.5</x:v>
      </x:c>
      <x:c r="L19" s="100" t="n">
        <x:f>IF(C19=0,0,K19/C19)</x:f>
        <x:v>0.865625</x:v>
      </x:c>
      <x:c r="M19" s="160" t="n">
        <x:f>IF(B19=0,0,I19/B19)</x:f>
        <x:v>10.75</x:v>
      </x:c>
    </x:row>
    <x:row r="20" ht="15" hidden="0" customHeight="1">
      <x:c r="A20" s="88" t="str">
        <x:v>Optimistic</x:v>
      </x:c>
      <x:c r="B20" s="98" t="n">
        <x:v>25</x:v>
      </x:c>
      <x:c r="C20" s="99" t="n">
        <x:f>B20*'Assumptions'!$B$6</x:f>
        <x:v>2000</x:v>
      </x:c>
      <x:c r="D20" s="99" t="n">
        <x:f>C20*12</x:f>
        <x:v>24000</x:v>
      </x:c>
      <x:c r="E20" s="99" t="n">
        <x:f>B20*('Assumptions'!$B$6*'Assumptions'!$B$9+'Assumptions'!$B$10)</x:f>
        <x:v>36.25</x:v>
      </x:c>
      <x:c r="F20" s="99" t="n">
        <x:f>B20*SUM('Assumptions'!$E$6:$H$6)</x:f>
        <x:v>32.49999999999999</x:v>
      </x:c>
      <x:c r="G20" s="99" t="n">
        <x:f>IF(B20=0,'Assumptions'!$B$24,IF(B20&lt;=10,'Assumptions'!$B$24,IF(B20&lt;=25,'Assumptions'!$C$24,IF(B20&lt;=50,'Assumptions'!$D$24,IF(B20&lt;=100,'Assumptions'!$E$24,'Assumptions'!$F$24)))))</x:f>
        <x:v>55</x:v>
      </x:c>
      <x:c r="H20" s="99" t="n">
        <x:f>IF(B20=0,'Assumptions'!$B$27,IF(B20&lt;=10,'Assumptions'!$B$27,IF(B20&lt;=25,'Assumptions'!$C$27,IF(B20&lt;=50,'Assumptions'!$D$27,IF(B20&lt;=100,'Assumptions'!$E$27,'Assumptions'!$F$27)))))</x:f>
        <x:v>75</x:v>
      </x:c>
      <x:c r="I20" s="99" t="n">
        <x:f>SUM(E20:H20)</x:f>
        <x:v>198.75</x:v>
      </x:c>
      <x:c r="J20" s="99" t="n">
        <x:f>C20-E20-F20-G20</x:f>
        <x:v>1876.25</x:v>
      </x:c>
      <x:c r="K20" s="99" t="n">
        <x:f>C20-I20</x:f>
        <x:v>1801.25</x:v>
      </x:c>
      <x:c r="L20" s="100" t="n">
        <x:f>IF(C20=0,0,K20/C20)</x:f>
        <x:v>0.900625</x:v>
      </x:c>
      <x:c r="M20" s="160" t="n">
        <x:f>IF(B20=0,0,I20/B20)</x:f>
        <x:v>7.95</x:v>
      </x:c>
    </x:row>
    <x:row r="21" ht="15" hidden="0" customHeight="1">
      <x:c r="A21" s="88" t="str">
        <x:v>Optimistic</x:v>
      </x:c>
      <x:c r="B21" s="98" t="n">
        <x:v>50</x:v>
      </x:c>
      <x:c r="C21" s="99" t="n">
        <x:f>B21*'Assumptions'!$B$6</x:f>
        <x:v>4000</x:v>
      </x:c>
      <x:c r="D21" s="99" t="n">
        <x:f>C21*12</x:f>
        <x:v>48000</x:v>
      </x:c>
      <x:c r="E21" s="99" t="n">
        <x:f>B21*('Assumptions'!$B$6*'Assumptions'!$B$9+'Assumptions'!$B$10)</x:f>
        <x:v>72.5</x:v>
      </x:c>
      <x:c r="F21" s="99" t="n">
        <x:f>B21*SUM('Assumptions'!$E$6:$H$6)</x:f>
        <x:v>64.99999999999999</x:v>
      </x:c>
      <x:c r="G21" s="99" t="n">
        <x:f>IF(B21=0,'Assumptions'!$B$24,IF(B21&lt;=10,'Assumptions'!$B$24,IF(B21&lt;=25,'Assumptions'!$C$24,IF(B21&lt;=50,'Assumptions'!$D$24,IF(B21&lt;=100,'Assumptions'!$E$24,'Assumptions'!$F$24)))))</x:f>
        <x:v>90</x:v>
      </x:c>
      <x:c r="H21" s="99" t="n">
        <x:f>IF(B21=0,'Assumptions'!$B$27,IF(B21&lt;=10,'Assumptions'!$B$27,IF(B21&lt;=25,'Assumptions'!$C$27,IF(B21&lt;=50,'Assumptions'!$D$27,IF(B21&lt;=100,'Assumptions'!$E$27,'Assumptions'!$F$27)))))</x:f>
        <x:v>150</x:v>
      </x:c>
      <x:c r="I21" s="99" t="n">
        <x:f>SUM(E21:H21)</x:f>
        <x:v>377.5</x:v>
      </x:c>
      <x:c r="J21" s="99" t="n">
        <x:f>C21-E21-F21-G21</x:f>
        <x:v>3772.5</x:v>
      </x:c>
      <x:c r="K21" s="99" t="n">
        <x:f>C21-I21</x:f>
        <x:v>3622.5</x:v>
      </x:c>
      <x:c r="L21" s="100" t="n">
        <x:f>IF(C21=0,0,K21/C21)</x:f>
        <x:v>0.905625</x:v>
      </x:c>
      <x:c r="M21" s="160" t="n">
        <x:f>IF(B21=0,0,I21/B21)</x:f>
        <x:v>7.55</x:v>
      </x:c>
    </x:row>
    <x:row r="22" ht="15" hidden="0" customHeight="1">
      <x:c r="A22" s="88" t="str">
        <x:v>Optimistic</x:v>
      </x:c>
      <x:c r="B22" s="98" t="n">
        <x:v>100</x:v>
      </x:c>
      <x:c r="C22" s="99" t="n">
        <x:f>B22*'Assumptions'!$B$6</x:f>
        <x:v>8000</x:v>
      </x:c>
      <x:c r="D22" s="99" t="n">
        <x:f>C22*12</x:f>
        <x:v>96000</x:v>
      </x:c>
      <x:c r="E22" s="99" t="n">
        <x:f>B22*('Assumptions'!$B$6*'Assumptions'!$B$9+'Assumptions'!$B$10)</x:f>
        <x:v>145</x:v>
      </x:c>
      <x:c r="F22" s="99" t="n">
        <x:f>B22*SUM('Assumptions'!$E$6:$H$6)</x:f>
        <x:v>129.99999999999997</x:v>
      </x:c>
      <x:c r="G22" s="99" t="n">
        <x:f>IF(B22=0,'Assumptions'!$B$24,IF(B22&lt;=10,'Assumptions'!$B$24,IF(B22&lt;=25,'Assumptions'!$C$24,IF(B22&lt;=50,'Assumptions'!$D$24,IF(B22&lt;=100,'Assumptions'!$E$24,'Assumptions'!$F$24)))))</x:f>
        <x:v>150</x:v>
      </x:c>
      <x:c r="H22" s="99" t="n">
        <x:f>IF(B22=0,'Assumptions'!$B$27,IF(B22&lt;=10,'Assumptions'!$B$27,IF(B22&lt;=25,'Assumptions'!$C$27,IF(B22&lt;=50,'Assumptions'!$D$27,IF(B22&lt;=100,'Assumptions'!$E$27,'Assumptions'!$F$27)))))</x:f>
        <x:v>275</x:v>
      </x:c>
      <x:c r="I22" s="99" t="n">
        <x:f>SUM(E22:H22)</x:f>
        <x:v>700</x:v>
      </x:c>
      <x:c r="J22" s="99" t="n">
        <x:f>C22-E22-F22-G22</x:f>
        <x:v>7575</x:v>
      </x:c>
      <x:c r="K22" s="99" t="n">
        <x:f>C22-I22</x:f>
        <x:v>7300</x:v>
      </x:c>
      <x:c r="L22" s="100" t="n">
        <x:f>IF(C22=0,0,K22/C22)</x:f>
        <x:v>0.9125</x:v>
      </x:c>
      <x:c r="M22" s="160" t="n">
        <x:f>IF(B22=0,0,I22/B22)</x:f>
        <x:v>7</x:v>
      </x:c>
    </x:row>
    <x:row r="23" ht="15" hidden="0" customHeight="1">
      <x:c r="A23" s="88" t="str">
        <x:v>Optimistic</x:v>
      </x:c>
      <x:c r="B23" s="98" t="n">
        <x:v>300</x:v>
      </x:c>
      <x:c r="C23" s="99" t="n">
        <x:f>B23*'Assumptions'!$B$6</x:f>
        <x:v>24000</x:v>
      </x:c>
      <x:c r="D23" s="99" t="n">
        <x:f>C23*12</x:f>
        <x:v>288000</x:v>
      </x:c>
      <x:c r="E23" s="99" t="n">
        <x:f>B23*('Assumptions'!$B$6*'Assumptions'!$B$9+'Assumptions'!$B$10)</x:f>
        <x:v>435</x:v>
      </x:c>
      <x:c r="F23" s="99" t="n">
        <x:f>B23*SUM('Assumptions'!$E$6:$H$6)</x:f>
        <x:v>389.99999999999994</x:v>
      </x:c>
      <x:c r="G23" s="99" t="n">
        <x:f>IF(B23=0,'Assumptions'!$B$24,IF(B23&lt;=10,'Assumptions'!$B$24,IF(B23&lt;=25,'Assumptions'!$C$24,IF(B23&lt;=50,'Assumptions'!$D$24,IF(B23&lt;=100,'Assumptions'!$E$24,'Assumptions'!$F$24)))))</x:f>
        <x:v>350</x:v>
      </x:c>
      <x:c r="H23" s="99" t="n">
        <x:f>IF(B23=0,'Assumptions'!$B$27,IF(B23&lt;=10,'Assumptions'!$B$27,IF(B23&lt;=25,'Assumptions'!$C$27,IF(B23&lt;=50,'Assumptions'!$D$27,IF(B23&lt;=100,'Assumptions'!$E$27,'Assumptions'!$F$27)))))</x:f>
        <x:v>600</x:v>
      </x:c>
      <x:c r="I23" s="99" t="n">
        <x:f>SUM(E23:H23)</x:f>
        <x:v>1775</x:v>
      </x:c>
      <x:c r="J23" s="99" t="n">
        <x:f>C23-E23-F23-G23</x:f>
        <x:v>22825</x:v>
      </x:c>
      <x:c r="K23" s="99" t="n">
        <x:f>C23-I23</x:f>
        <x:v>22225</x:v>
      </x:c>
      <x:c r="L23" s="100" t="n">
        <x:f>IF(C23=0,0,K23/C23)</x:f>
        <x:v>0.9260416666666667</x:v>
      </x:c>
      <x:c r="M23" s="160" t="n">
        <x:f>IF(B23=0,0,I23/B23)</x:f>
        <x:v>5.916666666666667</x:v>
      </x:c>
    </x:row>
  </x:sheetData>
  <x:mergeCells>
    <x:mergeCell ref="A1:M1"/>
  </x:mergeCells>
  <x:conditionalFormatting sqref="K3:K23">
    <x:cfRule type="cellIs" dxfId="3" priority="1" operator="lessThan">
      <x:formula>0</x:formula>
    </x:cfRule>
    <x:cfRule type="cellIs" dxfId="4" priority="2" operator="greaterThanOr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19.200000762939453" hidden="0" customHeight="1">
      <x:c r="A1" s="165" t="str">
        <x:v>12-Month Scenario Forecast</x:v>
      </x:c>
      <x:c r="B1" s="166"/>
      <x:c r="C1" s="166"/>
      <x:c r="D1" s="166"/>
      <x:c r="E1" s="166"/>
      <x:c r="F1" s="166"/>
      <x:c r="G1" s="166"/>
      <x:c r="H1" s="166"/>
      <x:c r="I1" s="166"/>
      <x:c r="J1" s="166"/>
      <x:c r="K1" s="166"/>
      <x:c r="L1" s="166"/>
      <x:c r="M1" s="166"/>
      <x:c r="N1" s="166"/>
      <x:c r="O1" s="166"/>
      <x:c r="P1" s="166"/>
    </x:row>
    <x:row r="2" ht="24" hidden="0" customHeight="1">
      <x:c r="A2" s="82" t="str">
        <x:v>Scenario</x:v>
      </x:c>
      <x:c r="B2" s="83" t="str">
        <x:v>Month</x:v>
      </x:c>
      <x:c r="C2" s="83" t="str">
        <x:v>Opening clients</x:v>
      </x:c>
      <x:c r="D2" s="83" t="str">
        <x:v>New clients</x:v>
      </x:c>
      <x:c r="E2" s="83" t="str">
        <x:v>Churned clients</x:v>
      </x:c>
      <x:c r="F2" s="83" t="str">
        <x:v>Closing clients</x:v>
      </x:c>
      <x:c r="G2" s="83" t="str">
        <x:v>Revenue</x:v>
      </x:c>
      <x:c r="H2" s="83" t="str">
        <x:v>Stripe fees</x:v>
      </x:c>
      <x:c r="I2" s="83" t="str">
        <x:v>Other variable</x:v>
      </x:c>
      <x:c r="J2" s="83" t="str">
        <x:v>Fixed platform</x:v>
      </x:c>
      <x:c r="K2" s="83" t="str">
        <x:v>Business overhead</x:v>
      </x:c>
      <x:c r="L2" s="83" t="str">
        <x:v>Acquisition cost</x:v>
      </x:c>
      <x:c r="M2" s="83" t="str">
        <x:v>Founder salary</x:v>
      </x:c>
      <x:c r="N2" s="83" t="str">
        <x:v>Total cost</x:v>
      </x:c>
      <x:c r="O2" s="83" t="str">
        <x:v>Operating profit</x:v>
      </x:c>
      <x:c r="P2" s="84" t="str">
        <x:v>Cumulative cash</x:v>
      </x:c>
    </x:row>
    <x:row r="3" ht="15" hidden="0" customHeight="1">
      <x:c r="A3" s="155" t="str">
        <x:v>Conservative</x:v>
      </x:c>
      <x:c r="B3" s="155" t="str">
        <x:v>M1</x:v>
      </x:c>
      <x:c r="C3" s="156" t="n">
        <x:f>0</x:f>
        <x:v>0</x:v>
      </x:c>
      <x:c r="D3" s="156" t="n">
        <x:f>'Assumptions'!B$31</x:f>
        <x:v>1</x:v>
      </x:c>
      <x:c r="E3" s="156" t="n">
        <x:f>ROUND(C3*'Assumptions'!$C$4,0)</x:f>
        <x:v>0</x:v>
      </x:c>
      <x:c r="F3" s="156" t="n">
        <x:f>C3+D3-E3</x:f>
        <x:v>1</x:v>
      </x:c>
      <x:c r="G3" s="157" t="n">
        <x:f>F3*'Assumptions'!$B$4</x:f>
        <x:v>80</x:v>
      </x:c>
      <x:c r="H3" s="157" t="n">
        <x:f>F3*('Assumptions'!$B$4*'Assumptions'!$B$9+'Assumptions'!$B$10)</x:f>
        <x:v>1.45</x:v>
      </x:c>
      <x:c r="I3" s="157" t="n">
        <x:f>F3*SUM('Assumptions'!$E$4:$H$4)</x:f>
        <x:v>4.9</x:v>
      </x:c>
      <x:c r="J3" s="157" t="n">
        <x:f>IF(F3&lt;=10,'Assumptions'!$B$22,IF(F3&lt;=25,'Assumptions'!$C$22,IF(F3&lt;=50,'Assumptions'!$D$22,IF(F3&lt;=100,'Assumptions'!$E$22,'Assumptions'!$F$22))))</x:f>
        <x:v>80</x:v>
      </x:c>
      <x:c r="K3" s="157" t="n">
        <x:f>IF(F3&lt;=10,'Assumptions'!$B$25,IF(F3&lt;=25,'Assumptions'!$C$25,IF(F3&lt;=50,'Assumptions'!$D$25,IF(F3&lt;=100,'Assumptions'!$E$25,'Assumptions'!$F$25))))</x:f>
        <x:v>100</x:v>
      </x:c>
      <x:c r="L3" s="157" t="n">
        <x:f>D3*'Assumptions'!$D$4</x:f>
        <x:v>250</x:v>
      </x:c>
      <x:c r="M3" s="157" t="n">
        <x:f>'Assumptions'!$B$11</x:f>
        <x:v>0</x:v>
      </x:c>
      <x:c r="N3" s="157" t="n">
        <x:f>SUM(H3:M3)</x:f>
        <x:v>436.35</x:v>
      </x:c>
      <x:c r="O3" s="157" t="n">
        <x:f>G3-N3</x:f>
        <x:v>-356.35</x:v>
      </x:c>
      <x:c r="P3" s="157" t="n">
        <x:f>'Assumptions'!$B$13+O3</x:f>
        <x:v>-356.35</x:v>
      </x:c>
    </x:row>
    <x:row r="4" ht="15" hidden="0" customHeight="1">
      <x:c r="A4" s="88" t="str">
        <x:v>Conservative</x:v>
      </x:c>
      <x:c r="B4" s="88" t="str">
        <x:v>M2</x:v>
      </x:c>
      <x:c r="C4" s="98" t="n">
        <x:f>F3</x:f>
        <x:v>1</x:v>
      </x:c>
      <x:c r="D4" s="98" t="n">
        <x:f>'Assumptions'!C$31</x:f>
        <x:v>1</x:v>
      </x:c>
      <x:c r="E4" s="98" t="n">
        <x:f>ROUND(C4*'Assumptions'!$C$4,0)</x:f>
        <x:v>0</x:v>
      </x:c>
      <x:c r="F4" s="98" t="n">
        <x:f>C4+D4-E4</x:f>
        <x:v>2</x:v>
      </x:c>
      <x:c r="G4" s="99" t="n">
        <x:f>F4*'Assumptions'!$B$4</x:f>
        <x:v>160</x:v>
      </x:c>
      <x:c r="H4" s="99" t="n">
        <x:f>F4*('Assumptions'!$B$4*'Assumptions'!$B$9+'Assumptions'!$B$10)</x:f>
        <x:v>2.9</x:v>
      </x:c>
      <x:c r="I4" s="99" t="n">
        <x:f>F4*SUM('Assumptions'!$E$4:$H$4)</x:f>
        <x:v>9.8</x:v>
      </x:c>
      <x:c r="J4" s="99" t="n">
        <x:f>IF(F4&lt;=10,'Assumptions'!$B$22,IF(F4&lt;=25,'Assumptions'!$C$22,IF(F4&lt;=50,'Assumptions'!$D$22,IF(F4&lt;=100,'Assumptions'!$E$22,'Assumptions'!$F$22))))</x:f>
        <x:v>80</x:v>
      </x:c>
      <x:c r="K4" s="99" t="n">
        <x:f>IF(F4&lt;=10,'Assumptions'!$B$25,IF(F4&lt;=25,'Assumptions'!$C$25,IF(F4&lt;=50,'Assumptions'!$D$25,IF(F4&lt;=100,'Assumptions'!$E$25,'Assumptions'!$F$25))))</x:f>
        <x:v>100</x:v>
      </x:c>
      <x:c r="L4" s="99" t="n">
        <x:f>D4*'Assumptions'!$D$4</x:f>
        <x:v>250</x:v>
      </x:c>
      <x:c r="M4" s="99" t="n">
        <x:f>'Assumptions'!$B$11</x:f>
        <x:v>0</x:v>
      </x:c>
      <x:c r="N4" s="99" t="n">
        <x:f>SUM(H4:M4)</x:f>
        <x:v>442.7</x:v>
      </x:c>
      <x:c r="O4" s="99" t="n">
        <x:f>G4-N4</x:f>
        <x:v>-282.7</x:v>
      </x:c>
      <x:c r="P4" s="99" t="n">
        <x:f>P3+O4</x:f>
        <x:v>-639.05</x:v>
      </x:c>
    </x:row>
    <x:row r="5" ht="15" hidden="0" customHeight="1">
      <x:c r="A5" s="88" t="str">
        <x:v>Conservative</x:v>
      </x:c>
      <x:c r="B5" s="88" t="str">
        <x:v>M3</x:v>
      </x:c>
      <x:c r="C5" s="98" t="n">
        <x:f>F4</x:f>
        <x:v>2</x:v>
      </x:c>
      <x:c r="D5" s="98" t="n">
        <x:f>'Assumptions'!D$31</x:f>
        <x:v>1</x:v>
      </x:c>
      <x:c r="E5" s="98" t="n">
        <x:f>ROUND(C5*'Assumptions'!$C$4,0)</x:f>
        <x:v>0</x:v>
      </x:c>
      <x:c r="F5" s="98" t="n">
        <x:f>C5+D5-E5</x:f>
        <x:v>3</x:v>
      </x:c>
      <x:c r="G5" s="99" t="n">
        <x:f>F5*'Assumptions'!$B$4</x:f>
        <x:v>240</x:v>
      </x:c>
      <x:c r="H5" s="99" t="n">
        <x:f>F5*('Assumptions'!$B$4*'Assumptions'!$B$9+'Assumptions'!$B$10)</x:f>
        <x:v>4.35</x:v>
      </x:c>
      <x:c r="I5" s="99" t="n">
        <x:f>F5*SUM('Assumptions'!$E$4:$H$4)</x:f>
        <x:v>14.700000000000001</x:v>
      </x:c>
      <x:c r="J5" s="99" t="n">
        <x:f>IF(F5&lt;=10,'Assumptions'!$B$22,IF(F5&lt;=25,'Assumptions'!$C$22,IF(F5&lt;=50,'Assumptions'!$D$22,IF(F5&lt;=100,'Assumptions'!$E$22,'Assumptions'!$F$22))))</x:f>
        <x:v>80</x:v>
      </x:c>
      <x:c r="K5" s="99" t="n">
        <x:f>IF(F5&lt;=10,'Assumptions'!$B$25,IF(F5&lt;=25,'Assumptions'!$C$25,IF(F5&lt;=50,'Assumptions'!$D$25,IF(F5&lt;=100,'Assumptions'!$E$25,'Assumptions'!$F$25))))</x:f>
        <x:v>100</x:v>
      </x:c>
      <x:c r="L5" s="99" t="n">
        <x:f>D5*'Assumptions'!$D$4</x:f>
        <x:v>250</x:v>
      </x:c>
      <x:c r="M5" s="99" t="n">
        <x:f>'Assumptions'!$B$11</x:f>
        <x:v>0</x:v>
      </x:c>
      <x:c r="N5" s="99" t="n">
        <x:f>SUM(H5:M5)</x:f>
        <x:v>449.05</x:v>
      </x:c>
      <x:c r="O5" s="99" t="n">
        <x:f>G5-N5</x:f>
        <x:v>-209.05</x:v>
      </x:c>
      <x:c r="P5" s="99" t="n">
        <x:f>P4+O5</x:f>
        <x:v>-848.0999999999999</x:v>
      </x:c>
    </x:row>
    <x:row r="6" ht="15" hidden="0" customHeight="1">
      <x:c r="A6" s="88" t="str">
        <x:v>Conservative</x:v>
      </x:c>
      <x:c r="B6" s="88" t="str">
        <x:v>M4</x:v>
      </x:c>
      <x:c r="C6" s="98" t="n">
        <x:f>F5</x:f>
        <x:v>3</x:v>
      </x:c>
      <x:c r="D6" s="98" t="n">
        <x:f>'Assumptions'!E$31</x:f>
        <x:v>2</x:v>
      </x:c>
      <x:c r="E6" s="98" t="n">
        <x:f>ROUND(C6*'Assumptions'!$C$4,0)</x:f>
        <x:v>0</x:v>
      </x:c>
      <x:c r="F6" s="98" t="n">
        <x:f>C6+D6-E6</x:f>
        <x:v>5</x:v>
      </x:c>
      <x:c r="G6" s="99" t="n">
        <x:f>F6*'Assumptions'!$B$4</x:f>
        <x:v>400</x:v>
      </x:c>
      <x:c r="H6" s="99" t="n">
        <x:f>F6*('Assumptions'!$B$4*'Assumptions'!$B$9+'Assumptions'!$B$10)</x:f>
        <x:v>7.25</x:v>
      </x:c>
      <x:c r="I6" s="99" t="n">
        <x:f>F6*SUM('Assumptions'!$E$4:$H$4)</x:f>
        <x:v>24.5</x:v>
      </x:c>
      <x:c r="J6" s="99" t="n">
        <x:f>IF(F6&lt;=10,'Assumptions'!$B$22,IF(F6&lt;=25,'Assumptions'!$C$22,IF(F6&lt;=50,'Assumptions'!$D$22,IF(F6&lt;=100,'Assumptions'!$E$22,'Assumptions'!$F$22))))</x:f>
        <x:v>80</x:v>
      </x:c>
      <x:c r="K6" s="99" t="n">
        <x:f>IF(F6&lt;=10,'Assumptions'!$B$25,IF(F6&lt;=25,'Assumptions'!$C$25,IF(F6&lt;=50,'Assumptions'!$D$25,IF(F6&lt;=100,'Assumptions'!$E$25,'Assumptions'!$F$25))))</x:f>
        <x:v>100</x:v>
      </x:c>
      <x:c r="L6" s="99" t="n">
        <x:f>D6*'Assumptions'!$D$4</x:f>
        <x:v>500</x:v>
      </x:c>
      <x:c r="M6" s="99" t="n">
        <x:f>'Assumptions'!$B$11</x:f>
        <x:v>0</x:v>
      </x:c>
      <x:c r="N6" s="99" t="n">
        <x:f>SUM(H6:M6)</x:f>
        <x:v>711.75</x:v>
      </x:c>
      <x:c r="O6" s="99" t="n">
        <x:f>G6-N6</x:f>
        <x:v>-311.75</x:v>
      </x:c>
      <x:c r="P6" s="99" t="n">
        <x:f>P5+O6</x:f>
        <x:v>-1159.85</x:v>
      </x:c>
    </x:row>
    <x:row r="7" ht="15" hidden="0" customHeight="1">
      <x:c r="A7" s="88" t="str">
        <x:v>Conservative</x:v>
      </x:c>
      <x:c r="B7" s="88" t="str">
        <x:v>M5</x:v>
      </x:c>
      <x:c r="C7" s="98" t="n">
        <x:f>F6</x:f>
        <x:v>5</x:v>
      </x:c>
      <x:c r="D7" s="98" t="n">
        <x:f>'Assumptions'!F$31</x:f>
        <x:v>2</x:v>
      </x:c>
      <x:c r="E7" s="98" t="n">
        <x:f>ROUND(C7*'Assumptions'!$C$4,0)</x:f>
        <x:v>0</x:v>
      </x:c>
      <x:c r="F7" s="98" t="n">
        <x:f>C7+D7-E7</x:f>
        <x:v>7</x:v>
      </x:c>
      <x:c r="G7" s="99" t="n">
        <x:f>F7*'Assumptions'!$B$4</x:f>
        <x:v>560</x:v>
      </x:c>
      <x:c r="H7" s="99" t="n">
        <x:f>F7*('Assumptions'!$B$4*'Assumptions'!$B$9+'Assumptions'!$B$10)</x:f>
        <x:v>10.15</x:v>
      </x:c>
      <x:c r="I7" s="99" t="n">
        <x:f>F7*SUM('Assumptions'!$E$4:$H$4)</x:f>
        <x:v>34.300000000000004</x:v>
      </x:c>
      <x:c r="J7" s="99" t="n">
        <x:f>IF(F7&lt;=10,'Assumptions'!$B$22,IF(F7&lt;=25,'Assumptions'!$C$22,IF(F7&lt;=50,'Assumptions'!$D$22,IF(F7&lt;=100,'Assumptions'!$E$22,'Assumptions'!$F$22))))</x:f>
        <x:v>80</x:v>
      </x:c>
      <x:c r="K7" s="99" t="n">
        <x:f>IF(F7&lt;=10,'Assumptions'!$B$25,IF(F7&lt;=25,'Assumptions'!$C$25,IF(F7&lt;=50,'Assumptions'!$D$25,IF(F7&lt;=100,'Assumptions'!$E$25,'Assumptions'!$F$25))))</x:f>
        <x:v>100</x:v>
      </x:c>
      <x:c r="L7" s="99" t="n">
        <x:f>D7*'Assumptions'!$D$4</x:f>
        <x:v>500</x:v>
      </x:c>
      <x:c r="M7" s="99" t="n">
        <x:f>'Assumptions'!$B$11</x:f>
        <x:v>0</x:v>
      </x:c>
      <x:c r="N7" s="99" t="n">
        <x:f>SUM(H7:M7)</x:f>
        <x:v>724.45</x:v>
      </x:c>
      <x:c r="O7" s="99" t="n">
        <x:f>G7-N7</x:f>
        <x:v>-164.45000000000005</x:v>
      </x:c>
      <x:c r="P7" s="99" t="n">
        <x:f>P6+O7</x:f>
        <x:v>-1324.3</x:v>
      </x:c>
    </x:row>
    <x:row r="8" ht="15" hidden="0" customHeight="1">
      <x:c r="A8" s="88" t="str">
        <x:v>Conservative</x:v>
      </x:c>
      <x:c r="B8" s="88" t="str">
        <x:v>M6</x:v>
      </x:c>
      <x:c r="C8" s="98" t="n">
        <x:f>F7</x:f>
        <x:v>7</x:v>
      </x:c>
      <x:c r="D8" s="98" t="n">
        <x:f>'Assumptions'!G$31</x:f>
        <x:v>2</x:v>
      </x:c>
      <x:c r="E8" s="98" t="n">
        <x:f>ROUND(C8*'Assumptions'!$C$4,0)</x:f>
        <x:v>0</x:v>
      </x:c>
      <x:c r="F8" s="98" t="n">
        <x:f>C8+D8-E8</x:f>
        <x:v>9</x:v>
      </x:c>
      <x:c r="G8" s="99" t="n">
        <x:f>F8*'Assumptions'!$B$4</x:f>
        <x:v>720</x:v>
      </x:c>
      <x:c r="H8" s="99" t="n">
        <x:f>F8*('Assumptions'!$B$4*'Assumptions'!$B$9+'Assumptions'!$B$10)</x:f>
        <x:v>13.049999999999999</x:v>
      </x:c>
      <x:c r="I8" s="99" t="n">
        <x:f>F8*SUM('Assumptions'!$E$4:$H$4)</x:f>
        <x:v>44.1</x:v>
      </x:c>
      <x:c r="J8" s="99" t="n">
        <x:f>IF(F8&lt;=10,'Assumptions'!$B$22,IF(F8&lt;=25,'Assumptions'!$C$22,IF(F8&lt;=50,'Assumptions'!$D$22,IF(F8&lt;=100,'Assumptions'!$E$22,'Assumptions'!$F$22))))</x:f>
        <x:v>80</x:v>
      </x:c>
      <x:c r="K8" s="99" t="n">
        <x:f>IF(F8&lt;=10,'Assumptions'!$B$25,IF(F8&lt;=25,'Assumptions'!$C$25,IF(F8&lt;=50,'Assumptions'!$D$25,IF(F8&lt;=100,'Assumptions'!$E$25,'Assumptions'!$F$25))))</x:f>
        <x:v>100</x:v>
      </x:c>
      <x:c r="L8" s="99" t="n">
        <x:f>D8*'Assumptions'!$D$4</x:f>
        <x:v>500</x:v>
      </x:c>
      <x:c r="M8" s="99" t="n">
        <x:f>'Assumptions'!$B$11</x:f>
        <x:v>0</x:v>
      </x:c>
      <x:c r="N8" s="99" t="n">
        <x:f>SUM(H8:M8)</x:f>
        <x:v>737.15</x:v>
      </x:c>
      <x:c r="O8" s="99" t="n">
        <x:f>G8-N8</x:f>
        <x:v>-17.149999999999977</x:v>
      </x:c>
      <x:c r="P8" s="99" t="n">
        <x:f>P7+O8</x:f>
        <x:v>-1341.4499999999998</x:v>
      </x:c>
    </x:row>
    <x:row r="9" ht="15" hidden="0" customHeight="1">
      <x:c r="A9" s="88" t="str">
        <x:v>Conservative</x:v>
      </x:c>
      <x:c r="B9" s="88" t="str">
        <x:v>M7</x:v>
      </x:c>
      <x:c r="C9" s="98" t="n">
        <x:f>F8</x:f>
        <x:v>9</x:v>
      </x:c>
      <x:c r="D9" s="98" t="n">
        <x:f>'Assumptions'!H$31</x:f>
        <x:v>3</x:v>
      </x:c>
      <x:c r="E9" s="98" t="n">
        <x:f>ROUND(C9*'Assumptions'!$C$4,0)</x:f>
        <x:v>0</x:v>
      </x:c>
      <x:c r="F9" s="98" t="n">
        <x:f>C9+D9-E9</x:f>
        <x:v>12</x:v>
      </x:c>
      <x:c r="G9" s="99" t="n">
        <x:f>F9*'Assumptions'!$B$4</x:f>
        <x:v>960</x:v>
      </x:c>
      <x:c r="H9" s="99" t="n">
        <x:f>F9*('Assumptions'!$B$4*'Assumptions'!$B$9+'Assumptions'!$B$10)</x:f>
        <x:v>17.4</x:v>
      </x:c>
      <x:c r="I9" s="99" t="n">
        <x:f>F9*SUM('Assumptions'!$E$4:$H$4)</x:f>
        <x:v>58.800000000000004</x:v>
      </x:c>
      <x:c r="J9" s="99" t="n">
        <x:f>IF(F9&lt;=10,'Assumptions'!$B$22,IF(F9&lt;=25,'Assumptions'!$C$22,IF(F9&lt;=50,'Assumptions'!$D$22,IF(F9&lt;=100,'Assumptions'!$E$22,'Assumptions'!$F$22))))</x:f>
        <x:v>120</x:v>
      </x:c>
      <x:c r="K9" s="99" t="n">
        <x:f>IF(F9&lt;=10,'Assumptions'!$B$25,IF(F9&lt;=25,'Assumptions'!$C$25,IF(F9&lt;=50,'Assumptions'!$D$25,IF(F9&lt;=100,'Assumptions'!$E$25,'Assumptions'!$F$25))))</x:f>
        <x:v>150</x:v>
      </x:c>
      <x:c r="L9" s="99" t="n">
        <x:f>D9*'Assumptions'!$D$4</x:f>
        <x:v>750</x:v>
      </x:c>
      <x:c r="M9" s="99" t="n">
        <x:f>'Assumptions'!$B$11</x:f>
        <x:v>0</x:v>
      </x:c>
      <x:c r="N9" s="99" t="n">
        <x:f>SUM(H9:M9)</x:f>
        <x:v>1096.2</x:v>
      </x:c>
      <x:c r="O9" s="99" t="n">
        <x:f>G9-N9</x:f>
        <x:v>-136.20000000000005</x:v>
      </x:c>
      <x:c r="P9" s="99" t="n">
        <x:f>P8+O9</x:f>
        <x:v>-1477.6499999999999</x:v>
      </x:c>
    </x:row>
    <x:row r="10" ht="15" hidden="0" customHeight="1">
      <x:c r="A10" s="88" t="str">
        <x:v>Conservative</x:v>
      </x:c>
      <x:c r="B10" s="88" t="str">
        <x:v>M8</x:v>
      </x:c>
      <x:c r="C10" s="98" t="n">
        <x:f>F9</x:f>
        <x:v>12</x:v>
      </x:c>
      <x:c r="D10" s="98" t="n">
        <x:f>'Assumptions'!I$31</x:f>
        <x:v>3</x:v>
      </x:c>
      <x:c r="E10" s="98" t="n">
        <x:f>ROUND(C10*'Assumptions'!$C$4,0)</x:f>
        <x:v>0</x:v>
      </x:c>
      <x:c r="F10" s="98" t="n">
        <x:f>C10+D10-E10</x:f>
        <x:v>15</x:v>
      </x:c>
      <x:c r="G10" s="99" t="n">
        <x:f>F10*'Assumptions'!$B$4</x:f>
        <x:v>1200</x:v>
      </x:c>
      <x:c r="H10" s="99" t="n">
        <x:f>F10*('Assumptions'!$B$4*'Assumptions'!$B$9+'Assumptions'!$B$10)</x:f>
        <x:v>21.75</x:v>
      </x:c>
      <x:c r="I10" s="99" t="n">
        <x:f>F10*SUM('Assumptions'!$E$4:$H$4)</x:f>
        <x:v>73.5</x:v>
      </x:c>
      <x:c r="J10" s="99" t="n">
        <x:f>IF(F10&lt;=10,'Assumptions'!$B$22,IF(F10&lt;=25,'Assumptions'!$C$22,IF(F10&lt;=50,'Assumptions'!$D$22,IF(F10&lt;=100,'Assumptions'!$E$22,'Assumptions'!$F$22))))</x:f>
        <x:v>120</x:v>
      </x:c>
      <x:c r="K10" s="99" t="n">
        <x:f>IF(F10&lt;=10,'Assumptions'!$B$25,IF(F10&lt;=25,'Assumptions'!$C$25,IF(F10&lt;=50,'Assumptions'!$D$25,IF(F10&lt;=100,'Assumptions'!$E$25,'Assumptions'!$F$25))))</x:f>
        <x:v>150</x:v>
      </x:c>
      <x:c r="L10" s="99" t="n">
        <x:f>D10*'Assumptions'!$D$4</x:f>
        <x:v>750</x:v>
      </x:c>
      <x:c r="M10" s="99" t="n">
        <x:f>'Assumptions'!$B$11</x:f>
        <x:v>0</x:v>
      </x:c>
      <x:c r="N10" s="99" t="n">
        <x:f>SUM(H10:M10)</x:f>
        <x:v>1115.25</x:v>
      </x:c>
      <x:c r="O10" s="99" t="n">
        <x:f>G10-N10</x:f>
        <x:v>84.75</x:v>
      </x:c>
      <x:c r="P10" s="99" t="n">
        <x:f>P9+O10</x:f>
        <x:v>-1392.8999999999999</x:v>
      </x:c>
    </x:row>
    <x:row r="11" ht="15" hidden="0" customHeight="1">
      <x:c r="A11" s="88" t="str">
        <x:v>Conservative</x:v>
      </x:c>
      <x:c r="B11" s="88" t="str">
        <x:v>M9</x:v>
      </x:c>
      <x:c r="C11" s="98" t="n">
        <x:f>F10</x:f>
        <x:v>15</x:v>
      </x:c>
      <x:c r="D11" s="98" t="n">
        <x:f>'Assumptions'!J$31</x:f>
        <x:v>3</x:v>
      </x:c>
      <x:c r="E11" s="98" t="n">
        <x:f>ROUND(C11*'Assumptions'!$C$4,0)</x:f>
        <x:v>1</x:v>
      </x:c>
      <x:c r="F11" s="98" t="n">
        <x:f>C11+D11-E11</x:f>
        <x:v>17</x:v>
      </x:c>
      <x:c r="G11" s="99" t="n">
        <x:f>F11*'Assumptions'!$B$4</x:f>
        <x:v>1360</x:v>
      </x:c>
      <x:c r="H11" s="99" t="n">
        <x:f>F11*('Assumptions'!$B$4*'Assumptions'!$B$9+'Assumptions'!$B$10)</x:f>
        <x:v>24.65</x:v>
      </x:c>
      <x:c r="I11" s="99" t="n">
        <x:f>F11*SUM('Assumptions'!$E$4:$H$4)</x:f>
        <x:v>83.30000000000001</x:v>
      </x:c>
      <x:c r="J11" s="99" t="n">
        <x:f>IF(F11&lt;=10,'Assumptions'!$B$22,IF(F11&lt;=25,'Assumptions'!$C$22,IF(F11&lt;=50,'Assumptions'!$D$22,IF(F11&lt;=100,'Assumptions'!$E$22,'Assumptions'!$F$22))))</x:f>
        <x:v>120</x:v>
      </x:c>
      <x:c r="K11" s="99" t="n">
        <x:f>IF(F11&lt;=10,'Assumptions'!$B$25,IF(F11&lt;=25,'Assumptions'!$C$25,IF(F11&lt;=50,'Assumptions'!$D$25,IF(F11&lt;=100,'Assumptions'!$E$25,'Assumptions'!$F$25))))</x:f>
        <x:v>150</x:v>
      </x:c>
      <x:c r="L11" s="99" t="n">
        <x:f>D11*'Assumptions'!$D$4</x:f>
        <x:v>750</x:v>
      </x:c>
      <x:c r="M11" s="99" t="n">
        <x:f>'Assumptions'!$B$11</x:f>
        <x:v>0</x:v>
      </x:c>
      <x:c r="N11" s="99" t="n">
        <x:f>SUM(H11:M11)</x:f>
        <x:v>1127.95</x:v>
      </x:c>
      <x:c r="O11" s="99" t="n">
        <x:f>G11-N11</x:f>
        <x:v>232.04999999999995</x:v>
      </x:c>
      <x:c r="P11" s="99" t="n">
        <x:f>P10+O11</x:f>
        <x:v>-1160.85</x:v>
      </x:c>
    </x:row>
    <x:row r="12" ht="15" hidden="0" customHeight="1">
      <x:c r="A12" s="88" t="str">
        <x:v>Conservative</x:v>
      </x:c>
      <x:c r="B12" s="88" t="str">
        <x:v>M10</x:v>
      </x:c>
      <x:c r="C12" s="98" t="n">
        <x:f>F11</x:f>
        <x:v>17</x:v>
      </x:c>
      <x:c r="D12" s="98" t="n">
        <x:f>'Assumptions'!K$31</x:f>
        <x:v>4</x:v>
      </x:c>
      <x:c r="E12" s="98" t="n">
        <x:f>ROUND(C12*'Assumptions'!$C$4,0)</x:f>
        <x:v>1</x:v>
      </x:c>
      <x:c r="F12" s="98" t="n">
        <x:f>C12+D12-E12</x:f>
        <x:v>20</x:v>
      </x:c>
      <x:c r="G12" s="99" t="n">
        <x:f>F12*'Assumptions'!$B$4</x:f>
        <x:v>1600</x:v>
      </x:c>
      <x:c r="H12" s="99" t="n">
        <x:f>F12*('Assumptions'!$B$4*'Assumptions'!$B$9+'Assumptions'!$B$10)</x:f>
        <x:v>29</x:v>
      </x:c>
      <x:c r="I12" s="99" t="n">
        <x:f>F12*SUM('Assumptions'!$E$4:$H$4)</x:f>
        <x:v>98</x:v>
      </x:c>
      <x:c r="J12" s="99" t="n">
        <x:f>IF(F12&lt;=10,'Assumptions'!$B$22,IF(F12&lt;=25,'Assumptions'!$C$22,IF(F12&lt;=50,'Assumptions'!$D$22,IF(F12&lt;=100,'Assumptions'!$E$22,'Assumptions'!$F$22))))</x:f>
        <x:v>120</x:v>
      </x:c>
      <x:c r="K12" s="99" t="n">
        <x:f>IF(F12&lt;=10,'Assumptions'!$B$25,IF(F12&lt;=25,'Assumptions'!$C$25,IF(F12&lt;=50,'Assumptions'!$D$25,IF(F12&lt;=100,'Assumptions'!$E$25,'Assumptions'!$F$25))))</x:f>
        <x:v>150</x:v>
      </x:c>
      <x:c r="L12" s="99" t="n">
        <x:f>D12*'Assumptions'!$D$4</x:f>
        <x:v>1000</x:v>
      </x:c>
      <x:c r="M12" s="99" t="n">
        <x:f>'Assumptions'!$B$11</x:f>
        <x:v>0</x:v>
      </x:c>
      <x:c r="N12" s="99" t="n">
        <x:f>SUM(H12:M12)</x:f>
        <x:v>1397</x:v>
      </x:c>
      <x:c r="O12" s="99" t="n">
        <x:f>G12-N12</x:f>
        <x:v>203</x:v>
      </x:c>
      <x:c r="P12" s="99" t="n">
        <x:f>P11+O12</x:f>
        <x:v>-957.8499999999999</x:v>
      </x:c>
    </x:row>
    <x:row r="13" ht="15" hidden="0" customHeight="1">
      <x:c r="A13" s="88" t="str">
        <x:v>Conservative</x:v>
      </x:c>
      <x:c r="B13" s="88" t="str">
        <x:v>M11</x:v>
      </x:c>
      <x:c r="C13" s="98" t="n">
        <x:f>F12</x:f>
        <x:v>20</x:v>
      </x:c>
      <x:c r="D13" s="98" t="n">
        <x:f>'Assumptions'!L$31</x:f>
        <x:v>4</x:v>
      </x:c>
      <x:c r="E13" s="98" t="n">
        <x:f>ROUND(C13*'Assumptions'!$C$4,0)</x:f>
        <x:v>1</x:v>
      </x:c>
      <x:c r="F13" s="98" t="n">
        <x:f>C13+D13-E13</x:f>
        <x:v>23</x:v>
      </x:c>
      <x:c r="G13" s="99" t="n">
        <x:f>F13*'Assumptions'!$B$4</x:f>
        <x:v>1840</x:v>
      </x:c>
      <x:c r="H13" s="99" t="n">
        <x:f>F13*('Assumptions'!$B$4*'Assumptions'!$B$9+'Assumptions'!$B$10)</x:f>
        <x:v>33.35</x:v>
      </x:c>
      <x:c r="I13" s="99" t="n">
        <x:f>F13*SUM('Assumptions'!$E$4:$H$4)</x:f>
        <x:v>112.7</x:v>
      </x:c>
      <x:c r="J13" s="99" t="n">
        <x:f>IF(F13&lt;=10,'Assumptions'!$B$22,IF(F13&lt;=25,'Assumptions'!$C$22,IF(F13&lt;=50,'Assumptions'!$D$22,IF(F13&lt;=100,'Assumptions'!$E$22,'Assumptions'!$F$22))))</x:f>
        <x:v>120</x:v>
      </x:c>
      <x:c r="K13" s="99" t="n">
        <x:f>IF(F13&lt;=10,'Assumptions'!$B$25,IF(F13&lt;=25,'Assumptions'!$C$25,IF(F13&lt;=50,'Assumptions'!$D$25,IF(F13&lt;=100,'Assumptions'!$E$25,'Assumptions'!$F$25))))</x:f>
        <x:v>150</x:v>
      </x:c>
      <x:c r="L13" s="99" t="n">
        <x:f>D13*'Assumptions'!$D$4</x:f>
        <x:v>1000</x:v>
      </x:c>
      <x:c r="M13" s="99" t="n">
        <x:f>'Assumptions'!$B$11</x:f>
        <x:v>0</x:v>
      </x:c>
      <x:c r="N13" s="99" t="n">
        <x:f>SUM(H13:M13)</x:f>
        <x:v>1416.05</x:v>
      </x:c>
      <x:c r="O13" s="99" t="n">
        <x:f>G13-N13</x:f>
        <x:v>423.95000000000005</x:v>
      </x:c>
      <x:c r="P13" s="99" t="n">
        <x:f>P12+O13</x:f>
        <x:v>-533.8999999999999</x:v>
      </x:c>
    </x:row>
    <x:row r="14" ht="15" hidden="0" customHeight="1">
      <x:c r="A14" s="88" t="str">
        <x:v>Conservative</x:v>
      </x:c>
      <x:c r="B14" s="88" t="str">
        <x:v>M12</x:v>
      </x:c>
      <x:c r="C14" s="98" t="n">
        <x:f>F13</x:f>
        <x:v>23</x:v>
      </x:c>
      <x:c r="D14" s="98" t="n">
        <x:f>'Assumptions'!M$31</x:f>
        <x:v>4</x:v>
      </x:c>
      <x:c r="E14" s="98" t="n">
        <x:f>ROUND(C14*'Assumptions'!$C$4,0)</x:f>
        <x:v>1</x:v>
      </x:c>
      <x:c r="F14" s="98" t="n">
        <x:f>C14+D14-E14</x:f>
        <x:v>26</x:v>
      </x:c>
      <x:c r="G14" s="99" t="n">
        <x:f>F14*'Assumptions'!$B$4</x:f>
        <x:v>2080</x:v>
      </x:c>
      <x:c r="H14" s="99" t="n">
        <x:f>F14*('Assumptions'!$B$4*'Assumptions'!$B$9+'Assumptions'!$B$10)</x:f>
        <x:v>37.699999999999996</x:v>
      </x:c>
      <x:c r="I14" s="99" t="n">
        <x:f>F14*SUM('Assumptions'!$E$4:$H$4)</x:f>
        <x:v>127.4</x:v>
      </x:c>
      <x:c r="J14" s="99" t="n">
        <x:f>IF(F14&lt;=10,'Assumptions'!$B$22,IF(F14&lt;=25,'Assumptions'!$C$22,IF(F14&lt;=50,'Assumptions'!$D$22,IF(F14&lt;=100,'Assumptions'!$E$22,'Assumptions'!$F$22))))</x:f>
        <x:v>180</x:v>
      </x:c>
      <x:c r="K14" s="99" t="n">
        <x:f>IF(F14&lt;=10,'Assumptions'!$B$25,IF(F14&lt;=25,'Assumptions'!$C$25,IF(F14&lt;=50,'Assumptions'!$D$25,IF(F14&lt;=100,'Assumptions'!$E$25,'Assumptions'!$F$25))))</x:f>
        <x:v>250</x:v>
      </x:c>
      <x:c r="L14" s="99" t="n">
        <x:f>D14*'Assumptions'!$D$4</x:f>
        <x:v>1000</x:v>
      </x:c>
      <x:c r="M14" s="99" t="n">
        <x:f>'Assumptions'!$B$11</x:f>
        <x:v>0</x:v>
      </x:c>
      <x:c r="N14" s="99" t="n">
        <x:f>SUM(H14:M14)</x:f>
        <x:v>1595.1</x:v>
      </x:c>
      <x:c r="O14" s="99" t="n">
        <x:f>G14-N14</x:f>
        <x:v>484.9000000000001</x:v>
      </x:c>
      <x:c r="P14" s="99" t="n">
        <x:f>P13+O14</x:f>
        <x:v>-48.99999999999977</x:v>
      </x:c>
    </x:row>
    <x:row r="15" ht="15" hidden="0" customHeight="1">
      <x:c r="A15" s="155" t="str">
        <x:v>Expected</x:v>
      </x:c>
      <x:c r="B15" s="155" t="str">
        <x:v>M1</x:v>
      </x:c>
      <x:c r="C15" s="156" t="n">
        <x:f>0</x:f>
        <x:v>0</x:v>
      </x:c>
      <x:c r="D15" s="156" t="n">
        <x:f>'Assumptions'!B$32</x:f>
        <x:v>2</x:v>
      </x:c>
      <x:c r="E15" s="156" t="n">
        <x:f>ROUND(C15*'Assumptions'!$C$5,0)</x:f>
        <x:v>0</x:v>
      </x:c>
      <x:c r="F15" s="156" t="n">
        <x:f>C15+D15-E15</x:f>
        <x:v>2</x:v>
      </x:c>
      <x:c r="G15" s="157" t="n">
        <x:f>F15*'Assumptions'!$B$5</x:f>
        <x:v>160</x:v>
      </x:c>
      <x:c r="H15" s="157" t="n">
        <x:f>F15*('Assumptions'!$B$5*'Assumptions'!$B$9+'Assumptions'!$B$10)</x:f>
        <x:v>2.9</x:v>
      </x:c>
      <x:c r="I15" s="157" t="n">
        <x:f>F15*SUM('Assumptions'!$E$5:$H$5)</x:f>
        <x:v>5.1</x:v>
      </x:c>
      <x:c r="J15" s="157" t="n">
        <x:f>IF(F15&lt;=10,'Assumptions'!$B$23,IF(F15&lt;=25,'Assumptions'!$C$23,IF(F15&lt;=50,'Assumptions'!$D$23,IF(F15&lt;=100,'Assumptions'!$E$23,'Assumptions'!$F$23))))</x:f>
        <x:v>45</x:v>
      </x:c>
      <x:c r="K15" s="157" t="n">
        <x:f>IF(F15&lt;=10,'Assumptions'!$B$26,IF(F15&lt;=25,'Assumptions'!$C$26,IF(F15&lt;=50,'Assumptions'!$D$26,IF(F15&lt;=100,'Assumptions'!$E$26,'Assumptions'!$F$26))))</x:f>
        <x:v>75</x:v>
      </x:c>
      <x:c r="L15" s="157" t="n">
        <x:f>D15*'Assumptions'!$D$5</x:f>
        <x:v>300</x:v>
      </x:c>
      <x:c r="M15" s="157" t="n">
        <x:f>'Assumptions'!$B$11</x:f>
        <x:v>0</x:v>
      </x:c>
      <x:c r="N15" s="157" t="n">
        <x:f>SUM(H15:M15)</x:f>
        <x:v>428</x:v>
      </x:c>
      <x:c r="O15" s="157" t="n">
        <x:f>G15-N15</x:f>
        <x:v>-268</x:v>
      </x:c>
      <x:c r="P15" s="157" t="n">
        <x:f>'Assumptions'!$B$13+O15</x:f>
        <x:v>-268</x:v>
      </x:c>
    </x:row>
    <x:row r="16" ht="15" hidden="0" customHeight="1">
      <x:c r="A16" s="88" t="str">
        <x:v>Expected</x:v>
      </x:c>
      <x:c r="B16" s="88" t="str">
        <x:v>M2</x:v>
      </x:c>
      <x:c r="C16" s="98" t="n">
        <x:f>F15</x:f>
        <x:v>2</x:v>
      </x:c>
      <x:c r="D16" s="98" t="n">
        <x:f>'Assumptions'!C$32</x:f>
        <x:v>2</x:v>
      </x:c>
      <x:c r="E16" s="98" t="n">
        <x:f>ROUND(C16*'Assumptions'!$C$5,0)</x:f>
        <x:v>0</x:v>
      </x:c>
      <x:c r="F16" s="98" t="n">
        <x:f>C16+D16-E16</x:f>
        <x:v>4</x:v>
      </x:c>
      <x:c r="G16" s="99" t="n">
        <x:f>F16*'Assumptions'!$B$5</x:f>
        <x:v>320</x:v>
      </x:c>
      <x:c r="H16" s="99" t="n">
        <x:f>F16*('Assumptions'!$B$5*'Assumptions'!$B$9+'Assumptions'!$B$10)</x:f>
        <x:v>5.8</x:v>
      </x:c>
      <x:c r="I16" s="99" t="n">
        <x:f>F16*SUM('Assumptions'!$E$5:$H$5)</x:f>
        <x:v>10.2</x:v>
      </x:c>
      <x:c r="J16" s="99" t="n">
        <x:f>IF(F16&lt;=10,'Assumptions'!$B$23,IF(F16&lt;=25,'Assumptions'!$C$23,IF(F16&lt;=50,'Assumptions'!$D$23,IF(F16&lt;=100,'Assumptions'!$E$23,'Assumptions'!$F$23))))</x:f>
        <x:v>45</x:v>
      </x:c>
      <x:c r="K16" s="99" t="n">
        <x:f>IF(F16&lt;=10,'Assumptions'!$B$26,IF(F16&lt;=25,'Assumptions'!$C$26,IF(F16&lt;=50,'Assumptions'!$D$26,IF(F16&lt;=100,'Assumptions'!$E$26,'Assumptions'!$F$26))))</x:f>
        <x:v>75</x:v>
      </x:c>
      <x:c r="L16" s="99" t="n">
        <x:f>D16*'Assumptions'!$D$5</x:f>
        <x:v>300</x:v>
      </x:c>
      <x:c r="M16" s="99" t="n">
        <x:f>'Assumptions'!$B$11</x:f>
        <x:v>0</x:v>
      </x:c>
      <x:c r="N16" s="99" t="n">
        <x:f>SUM(H16:M16)</x:f>
        <x:v>436</x:v>
      </x:c>
      <x:c r="O16" s="99" t="n">
        <x:f>G16-N16</x:f>
        <x:v>-116</x:v>
      </x:c>
      <x:c r="P16" s="99" t="n">
        <x:f>P15+O16</x:f>
        <x:v>-384</x:v>
      </x:c>
    </x:row>
    <x:row r="17" ht="15" hidden="0" customHeight="1">
      <x:c r="A17" s="88" t="str">
        <x:v>Expected</x:v>
      </x:c>
      <x:c r="B17" s="88" t="str">
        <x:v>M3</x:v>
      </x:c>
      <x:c r="C17" s="98" t="n">
        <x:f>F16</x:f>
        <x:v>4</x:v>
      </x:c>
      <x:c r="D17" s="98" t="n">
        <x:f>'Assumptions'!D$32</x:f>
        <x:v>3</x:v>
      </x:c>
      <x:c r="E17" s="98" t="n">
        <x:f>ROUND(C17*'Assumptions'!$C$5,0)</x:f>
        <x:v>0</x:v>
      </x:c>
      <x:c r="F17" s="98" t="n">
        <x:f>C17+D17-E17</x:f>
        <x:v>7</x:v>
      </x:c>
      <x:c r="G17" s="99" t="n">
        <x:f>F17*'Assumptions'!$B$5</x:f>
        <x:v>560</x:v>
      </x:c>
      <x:c r="H17" s="99" t="n">
        <x:f>F17*('Assumptions'!$B$5*'Assumptions'!$B$9+'Assumptions'!$B$10)</x:f>
        <x:v>10.15</x:v>
      </x:c>
      <x:c r="I17" s="99" t="n">
        <x:f>F17*SUM('Assumptions'!$E$5:$H$5)</x:f>
        <x:v>17.849999999999998</x:v>
      </x:c>
      <x:c r="J17" s="99" t="n">
        <x:f>IF(F17&lt;=10,'Assumptions'!$B$23,IF(F17&lt;=25,'Assumptions'!$C$23,IF(F17&lt;=50,'Assumptions'!$D$23,IF(F17&lt;=100,'Assumptions'!$E$23,'Assumptions'!$F$23))))</x:f>
        <x:v>45</x:v>
      </x:c>
      <x:c r="K17" s="99" t="n">
        <x:f>IF(F17&lt;=10,'Assumptions'!$B$26,IF(F17&lt;=25,'Assumptions'!$C$26,IF(F17&lt;=50,'Assumptions'!$D$26,IF(F17&lt;=100,'Assumptions'!$E$26,'Assumptions'!$F$26))))</x:f>
        <x:v>75</x:v>
      </x:c>
      <x:c r="L17" s="99" t="n">
        <x:f>D17*'Assumptions'!$D$5</x:f>
        <x:v>450</x:v>
      </x:c>
      <x:c r="M17" s="99" t="n">
        <x:f>'Assumptions'!$B$11</x:f>
        <x:v>0</x:v>
      </x:c>
      <x:c r="N17" s="99" t="n">
        <x:f>SUM(H17:M17)</x:f>
        <x:v>598</x:v>
      </x:c>
      <x:c r="O17" s="99" t="n">
        <x:f>G17-N17</x:f>
        <x:v>-38</x:v>
      </x:c>
      <x:c r="P17" s="99" t="n">
        <x:f>P16+O17</x:f>
        <x:v>-422</x:v>
      </x:c>
    </x:row>
    <x:row r="18" ht="15" hidden="0" customHeight="1">
      <x:c r="A18" s="88" t="str">
        <x:v>Expected</x:v>
      </x:c>
      <x:c r="B18" s="88" t="str">
        <x:v>M4</x:v>
      </x:c>
      <x:c r="C18" s="98" t="n">
        <x:f>F17</x:f>
        <x:v>7</x:v>
      </x:c>
      <x:c r="D18" s="98" t="n">
        <x:f>'Assumptions'!E$32</x:f>
        <x:v>3</x:v>
      </x:c>
      <x:c r="E18" s="98" t="n">
        <x:f>ROUND(C18*'Assumptions'!$C$5,0)</x:f>
        <x:v>0</x:v>
      </x:c>
      <x:c r="F18" s="98" t="n">
        <x:f>C18+D18-E18</x:f>
        <x:v>10</x:v>
      </x:c>
      <x:c r="G18" s="99" t="n">
        <x:f>F18*'Assumptions'!$B$5</x:f>
        <x:v>800</x:v>
      </x:c>
      <x:c r="H18" s="99" t="n">
        <x:f>F18*('Assumptions'!$B$5*'Assumptions'!$B$9+'Assumptions'!$B$10)</x:f>
        <x:v>14.5</x:v>
      </x:c>
      <x:c r="I18" s="99" t="n">
        <x:f>F18*SUM('Assumptions'!$E$5:$H$5)</x:f>
        <x:v>25.5</x:v>
      </x:c>
      <x:c r="J18" s="99" t="n">
        <x:f>IF(F18&lt;=10,'Assumptions'!$B$23,IF(F18&lt;=25,'Assumptions'!$C$23,IF(F18&lt;=50,'Assumptions'!$D$23,IF(F18&lt;=100,'Assumptions'!$E$23,'Assumptions'!$F$23))))</x:f>
        <x:v>45</x:v>
      </x:c>
      <x:c r="K18" s="99" t="n">
        <x:f>IF(F18&lt;=10,'Assumptions'!$B$26,IF(F18&lt;=25,'Assumptions'!$C$26,IF(F18&lt;=50,'Assumptions'!$D$26,IF(F18&lt;=100,'Assumptions'!$E$26,'Assumptions'!$F$26))))</x:f>
        <x:v>75</x:v>
      </x:c>
      <x:c r="L18" s="99" t="n">
        <x:f>D18*'Assumptions'!$D$5</x:f>
        <x:v>450</x:v>
      </x:c>
      <x:c r="M18" s="99" t="n">
        <x:f>'Assumptions'!$B$11</x:f>
        <x:v>0</x:v>
      </x:c>
      <x:c r="N18" s="99" t="n">
        <x:f>SUM(H18:M18)</x:f>
        <x:v>610</x:v>
      </x:c>
      <x:c r="O18" s="99" t="n">
        <x:f>G18-N18</x:f>
        <x:v>190</x:v>
      </x:c>
      <x:c r="P18" s="99" t="n">
        <x:f>P17+O18</x:f>
        <x:v>-232</x:v>
      </x:c>
    </x:row>
    <x:row r="19" ht="15" hidden="0" customHeight="1">
      <x:c r="A19" s="88" t="str">
        <x:v>Expected</x:v>
      </x:c>
      <x:c r="B19" s="88" t="str">
        <x:v>M5</x:v>
      </x:c>
      <x:c r="C19" s="98" t="n">
        <x:f>F18</x:f>
        <x:v>10</x:v>
      </x:c>
      <x:c r="D19" s="98" t="n">
        <x:f>'Assumptions'!F$32</x:f>
        <x:v>4</x:v>
      </x:c>
      <x:c r="E19" s="98" t="n">
        <x:f>ROUND(C19*'Assumptions'!$C$5,0)</x:f>
        <x:v>0</x:v>
      </x:c>
      <x:c r="F19" s="98" t="n">
        <x:f>C19+D19-E19</x:f>
        <x:v>14</x:v>
      </x:c>
      <x:c r="G19" s="99" t="n">
        <x:f>F19*'Assumptions'!$B$5</x:f>
        <x:v>1120</x:v>
      </x:c>
      <x:c r="H19" s="99" t="n">
        <x:f>F19*('Assumptions'!$B$5*'Assumptions'!$B$9+'Assumptions'!$B$10)</x:f>
        <x:v>20.3</x:v>
      </x:c>
      <x:c r="I19" s="99" t="n">
        <x:f>F19*SUM('Assumptions'!$E$5:$H$5)</x:f>
        <x:v>35.699999999999996</x:v>
      </x:c>
      <x:c r="J19" s="99" t="n">
        <x:f>IF(F19&lt;=10,'Assumptions'!$B$23,IF(F19&lt;=25,'Assumptions'!$C$23,IF(F19&lt;=50,'Assumptions'!$D$23,IF(F19&lt;=100,'Assumptions'!$E$23,'Assumptions'!$F$23))))</x:f>
        <x:v>70</x:v>
      </x:c>
      <x:c r="K19" s="99" t="n">
        <x:f>IF(F19&lt;=10,'Assumptions'!$B$26,IF(F19&lt;=25,'Assumptions'!$C$26,IF(F19&lt;=50,'Assumptions'!$D$26,IF(F19&lt;=100,'Assumptions'!$E$26,'Assumptions'!$F$26))))</x:f>
        <x:v>100</x:v>
      </x:c>
      <x:c r="L19" s="99" t="n">
        <x:f>D19*'Assumptions'!$D$5</x:f>
        <x:v>600</x:v>
      </x:c>
      <x:c r="M19" s="99" t="n">
        <x:f>'Assumptions'!$B$11</x:f>
        <x:v>0</x:v>
      </x:c>
      <x:c r="N19" s="99" t="n">
        <x:f>SUM(H19:M19)</x:f>
        <x:v>826</x:v>
      </x:c>
      <x:c r="O19" s="99" t="n">
        <x:f>G19-N19</x:f>
        <x:v>294</x:v>
      </x:c>
      <x:c r="P19" s="99" t="n">
        <x:f>P18+O19</x:f>
        <x:v>62</x:v>
      </x:c>
    </x:row>
    <x:row r="20" ht="15" hidden="0" customHeight="1">
      <x:c r="A20" s="88" t="str">
        <x:v>Expected</x:v>
      </x:c>
      <x:c r="B20" s="88" t="str">
        <x:v>M6</x:v>
      </x:c>
      <x:c r="C20" s="98" t="n">
        <x:f>F19</x:f>
        <x:v>14</x:v>
      </x:c>
      <x:c r="D20" s="98" t="n">
        <x:f>'Assumptions'!G$32</x:f>
        <x:v>4</x:v>
      </x:c>
      <x:c r="E20" s="98" t="n">
        <x:f>ROUND(C20*'Assumptions'!$C$5,0)</x:f>
        <x:v>0</x:v>
      </x:c>
      <x:c r="F20" s="98" t="n">
        <x:f>C20+D20-E20</x:f>
        <x:v>18</x:v>
      </x:c>
      <x:c r="G20" s="99" t="n">
        <x:f>F20*'Assumptions'!$B$5</x:f>
        <x:v>1440</x:v>
      </x:c>
      <x:c r="H20" s="99" t="n">
        <x:f>F20*('Assumptions'!$B$5*'Assumptions'!$B$9+'Assumptions'!$B$10)</x:f>
        <x:v>26.099999999999998</x:v>
      </x:c>
      <x:c r="I20" s="99" t="n">
        <x:f>F20*SUM('Assumptions'!$E$5:$H$5)</x:f>
        <x:v>45.9</x:v>
      </x:c>
      <x:c r="J20" s="99" t="n">
        <x:f>IF(F20&lt;=10,'Assumptions'!$B$23,IF(F20&lt;=25,'Assumptions'!$C$23,IF(F20&lt;=50,'Assumptions'!$D$23,IF(F20&lt;=100,'Assumptions'!$E$23,'Assumptions'!$F$23))))</x:f>
        <x:v>70</x:v>
      </x:c>
      <x:c r="K20" s="99" t="n">
        <x:f>IF(F20&lt;=10,'Assumptions'!$B$26,IF(F20&lt;=25,'Assumptions'!$C$26,IF(F20&lt;=50,'Assumptions'!$D$26,IF(F20&lt;=100,'Assumptions'!$E$26,'Assumptions'!$F$26))))</x:f>
        <x:v>100</x:v>
      </x:c>
      <x:c r="L20" s="99" t="n">
        <x:f>D20*'Assumptions'!$D$5</x:f>
        <x:v>600</x:v>
      </x:c>
      <x:c r="M20" s="99" t="n">
        <x:f>'Assumptions'!$B$11</x:f>
        <x:v>0</x:v>
      </x:c>
      <x:c r="N20" s="99" t="n">
        <x:f>SUM(H20:M20)</x:f>
        <x:v>842</x:v>
      </x:c>
      <x:c r="O20" s="99" t="n">
        <x:f>G20-N20</x:f>
        <x:v>598</x:v>
      </x:c>
      <x:c r="P20" s="99" t="n">
        <x:f>P19+O20</x:f>
        <x:v>660</x:v>
      </x:c>
    </x:row>
    <x:row r="21" ht="15" hidden="0" customHeight="1">
      <x:c r="A21" s="88" t="str">
        <x:v>Expected</x:v>
      </x:c>
      <x:c r="B21" s="88" t="str">
        <x:v>M7</x:v>
      </x:c>
      <x:c r="C21" s="98" t="n">
        <x:f>F20</x:f>
        <x:v>18</x:v>
      </x:c>
      <x:c r="D21" s="98" t="n">
        <x:f>'Assumptions'!H$32</x:f>
        <x:v>5</x:v>
      </x:c>
      <x:c r="E21" s="98" t="n">
        <x:f>ROUND(C21*'Assumptions'!$C$5,0)</x:f>
        <x:v>0</x:v>
      </x:c>
      <x:c r="F21" s="98" t="n">
        <x:f>C21+D21-E21</x:f>
        <x:v>23</x:v>
      </x:c>
      <x:c r="G21" s="99" t="n">
        <x:f>F21*'Assumptions'!$B$5</x:f>
        <x:v>1840</x:v>
      </x:c>
      <x:c r="H21" s="99" t="n">
        <x:f>F21*('Assumptions'!$B$5*'Assumptions'!$B$9+'Assumptions'!$B$10)</x:f>
        <x:v>33.35</x:v>
      </x:c>
      <x:c r="I21" s="99" t="n">
        <x:f>F21*SUM('Assumptions'!$E$5:$H$5)</x:f>
        <x:v>58.65</x:v>
      </x:c>
      <x:c r="J21" s="99" t="n">
        <x:f>IF(F21&lt;=10,'Assumptions'!$B$23,IF(F21&lt;=25,'Assumptions'!$C$23,IF(F21&lt;=50,'Assumptions'!$D$23,IF(F21&lt;=100,'Assumptions'!$E$23,'Assumptions'!$F$23))))</x:f>
        <x:v>70</x:v>
      </x:c>
      <x:c r="K21" s="99" t="n">
        <x:f>IF(F21&lt;=10,'Assumptions'!$B$26,IF(F21&lt;=25,'Assumptions'!$C$26,IF(F21&lt;=50,'Assumptions'!$D$26,IF(F21&lt;=100,'Assumptions'!$E$26,'Assumptions'!$F$26))))</x:f>
        <x:v>100</x:v>
      </x:c>
      <x:c r="L21" s="99" t="n">
        <x:f>D21*'Assumptions'!$D$5</x:f>
        <x:v>750</x:v>
      </x:c>
      <x:c r="M21" s="99" t="n">
        <x:f>'Assumptions'!$B$11</x:f>
        <x:v>0</x:v>
      </x:c>
      <x:c r="N21" s="99" t="n">
        <x:f>SUM(H21:M21)</x:f>
        <x:v>1012</x:v>
      </x:c>
      <x:c r="O21" s="99" t="n">
        <x:f>G21-N21</x:f>
        <x:v>828</x:v>
      </x:c>
      <x:c r="P21" s="99" t="n">
        <x:f>P20+O21</x:f>
        <x:v>1488</x:v>
      </x:c>
    </x:row>
    <x:row r="22" ht="15" hidden="0" customHeight="1">
      <x:c r="A22" s="88" t="str">
        <x:v>Expected</x:v>
      </x:c>
      <x:c r="B22" s="88" t="str">
        <x:v>M8</x:v>
      </x:c>
      <x:c r="C22" s="98" t="n">
        <x:f>F21</x:f>
        <x:v>23</x:v>
      </x:c>
      <x:c r="D22" s="98" t="n">
        <x:f>'Assumptions'!I$32</x:f>
        <x:v>5</x:v>
      </x:c>
      <x:c r="E22" s="98" t="n">
        <x:f>ROUND(C22*'Assumptions'!$C$5,0)</x:f>
        <x:v>1</x:v>
      </x:c>
      <x:c r="F22" s="98" t="n">
        <x:f>C22+D22-E22</x:f>
        <x:v>27</x:v>
      </x:c>
      <x:c r="G22" s="99" t="n">
        <x:f>F22*'Assumptions'!$B$5</x:f>
        <x:v>2160</x:v>
      </x:c>
      <x:c r="H22" s="99" t="n">
        <x:f>F22*('Assumptions'!$B$5*'Assumptions'!$B$9+'Assumptions'!$B$10)</x:f>
        <x:v>39.15</x:v>
      </x:c>
      <x:c r="I22" s="99" t="n">
        <x:f>F22*SUM('Assumptions'!$E$5:$H$5)</x:f>
        <x:v>68.85</x:v>
      </x:c>
      <x:c r="J22" s="99" t="n">
        <x:f>IF(F22&lt;=10,'Assumptions'!$B$23,IF(F22&lt;=25,'Assumptions'!$C$23,IF(F22&lt;=50,'Assumptions'!$D$23,IF(F22&lt;=100,'Assumptions'!$E$23,'Assumptions'!$F$23))))</x:f>
        <x:v>110</x:v>
      </x:c>
      <x:c r="K22" s="99" t="n">
        <x:f>IF(F22&lt;=10,'Assumptions'!$B$26,IF(F22&lt;=25,'Assumptions'!$C$26,IF(F22&lt;=50,'Assumptions'!$D$26,IF(F22&lt;=100,'Assumptions'!$E$26,'Assumptions'!$F$26))))</x:f>
        <x:v>180</x:v>
      </x:c>
      <x:c r="L22" s="99" t="n">
        <x:f>D22*'Assumptions'!$D$5</x:f>
        <x:v>750</x:v>
      </x:c>
      <x:c r="M22" s="99" t="n">
        <x:f>'Assumptions'!$B$11</x:f>
        <x:v>0</x:v>
      </x:c>
      <x:c r="N22" s="99" t="n">
        <x:f>SUM(H22:M22)</x:f>
        <x:v>1148</x:v>
      </x:c>
      <x:c r="O22" s="99" t="n">
        <x:f>G22-N22</x:f>
        <x:v>1012</x:v>
      </x:c>
      <x:c r="P22" s="99" t="n">
        <x:f>P21+O22</x:f>
        <x:v>2500</x:v>
      </x:c>
    </x:row>
    <x:row r="23" ht="15" hidden="0" customHeight="1">
      <x:c r="A23" s="88" t="str">
        <x:v>Expected</x:v>
      </x:c>
      <x:c r="B23" s="88" t="str">
        <x:v>M9</x:v>
      </x:c>
      <x:c r="C23" s="98" t="n">
        <x:f>F22</x:f>
        <x:v>27</x:v>
      </x:c>
      <x:c r="D23" s="98" t="n">
        <x:f>'Assumptions'!J$32</x:f>
        <x:v>6</x:v>
      </x:c>
      <x:c r="E23" s="98" t="n">
        <x:f>ROUND(C23*'Assumptions'!$C$5,0)</x:f>
        <x:v>1</x:v>
      </x:c>
      <x:c r="F23" s="98" t="n">
        <x:f>C23+D23-E23</x:f>
        <x:v>32</x:v>
      </x:c>
      <x:c r="G23" s="99" t="n">
        <x:f>F23*'Assumptions'!$B$5</x:f>
        <x:v>2560</x:v>
      </x:c>
      <x:c r="H23" s="99" t="n">
        <x:f>F23*('Assumptions'!$B$5*'Assumptions'!$B$9+'Assumptions'!$B$10)</x:f>
        <x:v>46.4</x:v>
      </x:c>
      <x:c r="I23" s="99" t="n">
        <x:f>F23*SUM('Assumptions'!$E$5:$H$5)</x:f>
        <x:v>81.6</x:v>
      </x:c>
      <x:c r="J23" s="99" t="n">
        <x:f>IF(F23&lt;=10,'Assumptions'!$B$23,IF(F23&lt;=25,'Assumptions'!$C$23,IF(F23&lt;=50,'Assumptions'!$D$23,IF(F23&lt;=100,'Assumptions'!$E$23,'Assumptions'!$F$23))))</x:f>
        <x:v>110</x:v>
      </x:c>
      <x:c r="K23" s="99" t="n">
        <x:f>IF(F23&lt;=10,'Assumptions'!$B$26,IF(F23&lt;=25,'Assumptions'!$C$26,IF(F23&lt;=50,'Assumptions'!$D$26,IF(F23&lt;=100,'Assumptions'!$E$26,'Assumptions'!$F$26))))</x:f>
        <x:v>180</x:v>
      </x:c>
      <x:c r="L23" s="99" t="n">
        <x:f>D23*'Assumptions'!$D$5</x:f>
        <x:v>900</x:v>
      </x:c>
      <x:c r="M23" s="99" t="n">
        <x:f>'Assumptions'!$B$11</x:f>
        <x:v>0</x:v>
      </x:c>
      <x:c r="N23" s="99" t="n">
        <x:f>SUM(H23:M23)</x:f>
        <x:v>1318</x:v>
      </x:c>
      <x:c r="O23" s="99" t="n">
        <x:f>G23-N23</x:f>
        <x:v>1242</x:v>
      </x:c>
      <x:c r="P23" s="99" t="n">
        <x:f>P22+O23</x:f>
        <x:v>3742</x:v>
      </x:c>
    </x:row>
    <x:row r="24" ht="15" hidden="0" customHeight="1">
      <x:c r="A24" s="88" t="str">
        <x:v>Expected</x:v>
      </x:c>
      <x:c r="B24" s="88" t="str">
        <x:v>M10</x:v>
      </x:c>
      <x:c r="C24" s="98" t="n">
        <x:f>F23</x:f>
        <x:v>32</x:v>
      </x:c>
      <x:c r="D24" s="98" t="n">
        <x:f>'Assumptions'!K$32</x:f>
        <x:v>6</x:v>
      </x:c>
      <x:c r="E24" s="98" t="n">
        <x:f>ROUND(C24*'Assumptions'!$C$5,0)</x:f>
        <x:v>1</x:v>
      </x:c>
      <x:c r="F24" s="98" t="n">
        <x:f>C24+D24-E24</x:f>
        <x:v>37</x:v>
      </x:c>
      <x:c r="G24" s="99" t="n">
        <x:f>F24*'Assumptions'!$B$5</x:f>
        <x:v>2960</x:v>
      </x:c>
      <x:c r="H24" s="99" t="n">
        <x:f>F24*('Assumptions'!$B$5*'Assumptions'!$B$9+'Assumptions'!$B$10)</x:f>
        <x:v>53.65</x:v>
      </x:c>
      <x:c r="I24" s="99" t="n">
        <x:f>F24*SUM('Assumptions'!$E$5:$H$5)</x:f>
        <x:v>94.35</x:v>
      </x:c>
      <x:c r="J24" s="99" t="n">
        <x:f>IF(F24&lt;=10,'Assumptions'!$B$23,IF(F24&lt;=25,'Assumptions'!$C$23,IF(F24&lt;=50,'Assumptions'!$D$23,IF(F24&lt;=100,'Assumptions'!$E$23,'Assumptions'!$F$23))))</x:f>
        <x:v>110</x:v>
      </x:c>
      <x:c r="K24" s="99" t="n">
        <x:f>IF(F24&lt;=10,'Assumptions'!$B$26,IF(F24&lt;=25,'Assumptions'!$C$26,IF(F24&lt;=50,'Assumptions'!$D$26,IF(F24&lt;=100,'Assumptions'!$E$26,'Assumptions'!$F$26))))</x:f>
        <x:v>180</x:v>
      </x:c>
      <x:c r="L24" s="99" t="n">
        <x:f>D24*'Assumptions'!$D$5</x:f>
        <x:v>900</x:v>
      </x:c>
      <x:c r="M24" s="99" t="n">
        <x:f>'Assumptions'!$B$11</x:f>
        <x:v>0</x:v>
      </x:c>
      <x:c r="N24" s="99" t="n">
        <x:f>SUM(H24:M24)</x:f>
        <x:v>1338</x:v>
      </x:c>
      <x:c r="O24" s="99" t="n">
        <x:f>G24-N24</x:f>
        <x:v>1622</x:v>
      </x:c>
      <x:c r="P24" s="99" t="n">
        <x:f>P23+O24</x:f>
        <x:v>5364</x:v>
      </x:c>
    </x:row>
    <x:row r="25" ht="15" hidden="0" customHeight="1">
      <x:c r="A25" s="88" t="str">
        <x:v>Expected</x:v>
      </x:c>
      <x:c r="B25" s="88" t="str">
        <x:v>M11</x:v>
      </x:c>
      <x:c r="C25" s="98" t="n">
        <x:f>F24</x:f>
        <x:v>37</x:v>
      </x:c>
      <x:c r="D25" s="98" t="n">
        <x:f>'Assumptions'!L$32</x:f>
        <x:v>7</x:v>
      </x:c>
      <x:c r="E25" s="98" t="n">
        <x:f>ROUND(C25*'Assumptions'!$C$5,0)</x:f>
        <x:v>1</x:v>
      </x:c>
      <x:c r="F25" s="98" t="n">
        <x:f>C25+D25-E25</x:f>
        <x:v>43</x:v>
      </x:c>
      <x:c r="G25" s="99" t="n">
        <x:f>F25*'Assumptions'!$B$5</x:f>
        <x:v>3440</x:v>
      </x:c>
      <x:c r="H25" s="99" t="n">
        <x:f>F25*('Assumptions'!$B$5*'Assumptions'!$B$9+'Assumptions'!$B$10)</x:f>
        <x:v>62.35</x:v>
      </x:c>
      <x:c r="I25" s="99" t="n">
        <x:f>F25*SUM('Assumptions'!$E$5:$H$5)</x:f>
        <x:v>109.64999999999999</x:v>
      </x:c>
      <x:c r="J25" s="99" t="n">
        <x:f>IF(F25&lt;=10,'Assumptions'!$B$23,IF(F25&lt;=25,'Assumptions'!$C$23,IF(F25&lt;=50,'Assumptions'!$D$23,IF(F25&lt;=100,'Assumptions'!$E$23,'Assumptions'!$F$23))))</x:f>
        <x:v>110</x:v>
      </x:c>
      <x:c r="K25" s="99" t="n">
        <x:f>IF(F25&lt;=10,'Assumptions'!$B$26,IF(F25&lt;=25,'Assumptions'!$C$26,IF(F25&lt;=50,'Assumptions'!$D$26,IF(F25&lt;=100,'Assumptions'!$E$26,'Assumptions'!$F$26))))</x:f>
        <x:v>180</x:v>
      </x:c>
      <x:c r="L25" s="99" t="n">
        <x:f>D25*'Assumptions'!$D$5</x:f>
        <x:v>1050</x:v>
      </x:c>
      <x:c r="M25" s="99" t="n">
        <x:f>'Assumptions'!$B$11</x:f>
        <x:v>0</x:v>
      </x:c>
      <x:c r="N25" s="99" t="n">
        <x:f>SUM(H25:M25)</x:f>
        <x:v>1512</x:v>
      </x:c>
      <x:c r="O25" s="99" t="n">
        <x:f>G25-N25</x:f>
        <x:v>1928</x:v>
      </x:c>
      <x:c r="P25" s="99" t="n">
        <x:f>P24+O25</x:f>
        <x:v>7292</x:v>
      </x:c>
    </x:row>
    <x:row r="26" ht="15" hidden="0" customHeight="1">
      <x:c r="A26" s="88" t="str">
        <x:v>Expected</x:v>
      </x:c>
      <x:c r="B26" s="88" t="str">
        <x:v>M12</x:v>
      </x:c>
      <x:c r="C26" s="98" t="n">
        <x:f>F25</x:f>
        <x:v>43</x:v>
      </x:c>
      <x:c r="D26" s="98" t="n">
        <x:f>'Assumptions'!M$32</x:f>
        <x:v>7</x:v>
      </x:c>
      <x:c r="E26" s="98" t="n">
        <x:f>ROUND(C26*'Assumptions'!$C$5,0)</x:f>
        <x:v>1</x:v>
      </x:c>
      <x:c r="F26" s="98" t="n">
        <x:f>C26+D26-E26</x:f>
        <x:v>49</x:v>
      </x:c>
      <x:c r="G26" s="99" t="n">
        <x:f>F26*'Assumptions'!$B$5</x:f>
        <x:v>3920</x:v>
      </x:c>
      <x:c r="H26" s="99" t="n">
        <x:f>F26*('Assumptions'!$B$5*'Assumptions'!$B$9+'Assumptions'!$B$10)</x:f>
        <x:v>71.05</x:v>
      </x:c>
      <x:c r="I26" s="99" t="n">
        <x:f>F26*SUM('Assumptions'!$E$5:$H$5)</x:f>
        <x:v>124.94999999999999</x:v>
      </x:c>
      <x:c r="J26" s="99" t="n">
        <x:f>IF(F26&lt;=10,'Assumptions'!$B$23,IF(F26&lt;=25,'Assumptions'!$C$23,IF(F26&lt;=50,'Assumptions'!$D$23,IF(F26&lt;=100,'Assumptions'!$E$23,'Assumptions'!$F$23))))</x:f>
        <x:v>110</x:v>
      </x:c>
      <x:c r="K26" s="99" t="n">
        <x:f>IF(F26&lt;=10,'Assumptions'!$B$26,IF(F26&lt;=25,'Assumptions'!$C$26,IF(F26&lt;=50,'Assumptions'!$D$26,IF(F26&lt;=100,'Assumptions'!$E$26,'Assumptions'!$F$26))))</x:f>
        <x:v>180</x:v>
      </x:c>
      <x:c r="L26" s="99" t="n">
        <x:f>D26*'Assumptions'!$D$5</x:f>
        <x:v>1050</x:v>
      </x:c>
      <x:c r="M26" s="99" t="n">
        <x:f>'Assumptions'!$B$11</x:f>
        <x:v>0</x:v>
      </x:c>
      <x:c r="N26" s="99" t="n">
        <x:f>SUM(H26:M26)</x:f>
        <x:v>1536</x:v>
      </x:c>
      <x:c r="O26" s="99" t="n">
        <x:f>G26-N26</x:f>
        <x:v>2384</x:v>
      </x:c>
      <x:c r="P26" s="99" t="n">
        <x:f>P25+O26</x:f>
        <x:v>9676</x:v>
      </x:c>
    </x:row>
    <x:row r="27" ht="15" hidden="0" customHeight="1">
      <x:c r="A27" s="155" t="str">
        <x:v>Optimistic</x:v>
      </x:c>
      <x:c r="B27" s="155" t="str">
        <x:v>M1</x:v>
      </x:c>
      <x:c r="C27" s="156" t="n">
        <x:f>0</x:f>
        <x:v>0</x:v>
      </x:c>
      <x:c r="D27" s="156" t="n">
        <x:f>'Assumptions'!B$33</x:f>
        <x:v>3</x:v>
      </x:c>
      <x:c r="E27" s="156" t="n">
        <x:f>ROUND(C27*'Assumptions'!$C$6,0)</x:f>
        <x:v>0</x:v>
      </x:c>
      <x:c r="F27" s="156" t="n">
        <x:f>C27+D27-E27</x:f>
        <x:v>3</x:v>
      </x:c>
      <x:c r="G27" s="157" t="n">
        <x:f>F27*'Assumptions'!$B$6</x:f>
        <x:v>240</x:v>
      </x:c>
      <x:c r="H27" s="157" t="n">
        <x:f>F27*('Assumptions'!$B$6*'Assumptions'!$B$9+'Assumptions'!$B$10)</x:f>
        <x:v>4.35</x:v>
      </x:c>
      <x:c r="I27" s="157" t="n">
        <x:f>F27*SUM('Assumptions'!$E$6:$H$6)</x:f>
        <x:v>3.8999999999999995</x:v>
      </x:c>
      <x:c r="J27" s="157" t="n">
        <x:f>IF(F27&lt;=10,'Assumptions'!$B$24,IF(F27&lt;=25,'Assumptions'!$C$24,IF(F27&lt;=50,'Assumptions'!$D$24,IF(F27&lt;=100,'Assumptions'!$E$24,'Assumptions'!$F$24))))</x:f>
        <x:v>30</x:v>
      </x:c>
      <x:c r="K27" s="157" t="n">
        <x:f>IF(F27&lt;=10,'Assumptions'!$B$27,IF(F27&lt;=25,'Assumptions'!$C$27,IF(F27&lt;=50,'Assumptions'!$D$27,IF(F27&lt;=100,'Assumptions'!$E$27,'Assumptions'!$F$27))))</x:f>
        <x:v>50</x:v>
      </x:c>
      <x:c r="L27" s="157" t="n">
        <x:f>D27*'Assumptions'!$D$6</x:f>
        <x:v>270</x:v>
      </x:c>
      <x:c r="M27" s="157" t="n">
        <x:f>'Assumptions'!$B$11</x:f>
        <x:v>0</x:v>
      </x:c>
      <x:c r="N27" s="157" t="n">
        <x:f>SUM(H27:M27)</x:f>
        <x:v>358.25</x:v>
      </x:c>
      <x:c r="O27" s="157" t="n">
        <x:f>G27-N27</x:f>
        <x:v>-118.25</x:v>
      </x:c>
      <x:c r="P27" s="157" t="n">
        <x:f>'Assumptions'!$B$13+O27</x:f>
        <x:v>-118.25</x:v>
      </x:c>
    </x:row>
    <x:row r="28" ht="15" hidden="0" customHeight="1">
      <x:c r="A28" s="88" t="str">
        <x:v>Optimistic</x:v>
      </x:c>
      <x:c r="B28" s="88" t="str">
        <x:v>M2</x:v>
      </x:c>
      <x:c r="C28" s="98" t="n">
        <x:f>F27</x:f>
        <x:v>3</x:v>
      </x:c>
      <x:c r="D28" s="98" t="n">
        <x:f>'Assumptions'!C$33</x:f>
        <x:v>4</x:v>
      </x:c>
      <x:c r="E28" s="98" t="n">
        <x:f>ROUND(C28*'Assumptions'!$C$6,0)</x:f>
        <x:v>0</x:v>
      </x:c>
      <x:c r="F28" s="98" t="n">
        <x:f>C28+D28-E28</x:f>
        <x:v>7</x:v>
      </x:c>
      <x:c r="G28" s="99" t="n">
        <x:f>F28*'Assumptions'!$B$6</x:f>
        <x:v>560</x:v>
      </x:c>
      <x:c r="H28" s="99" t="n">
        <x:f>F28*('Assumptions'!$B$6*'Assumptions'!$B$9+'Assumptions'!$B$10)</x:f>
        <x:v>10.15</x:v>
      </x:c>
      <x:c r="I28" s="99" t="n">
        <x:f>F28*SUM('Assumptions'!$E$6:$H$6)</x:f>
        <x:v>9.099999999999998</x:v>
      </x:c>
      <x:c r="J28" s="99" t="n">
        <x:f>IF(F28&lt;=10,'Assumptions'!$B$24,IF(F28&lt;=25,'Assumptions'!$C$24,IF(F28&lt;=50,'Assumptions'!$D$24,IF(F28&lt;=100,'Assumptions'!$E$24,'Assumptions'!$F$24))))</x:f>
        <x:v>30</x:v>
      </x:c>
      <x:c r="K28" s="99" t="n">
        <x:f>IF(F28&lt;=10,'Assumptions'!$B$27,IF(F28&lt;=25,'Assumptions'!$C$27,IF(F28&lt;=50,'Assumptions'!$D$27,IF(F28&lt;=100,'Assumptions'!$E$27,'Assumptions'!$F$27))))</x:f>
        <x:v>50</x:v>
      </x:c>
      <x:c r="L28" s="99" t="n">
        <x:f>D28*'Assumptions'!$D$6</x:f>
        <x:v>360</x:v>
      </x:c>
      <x:c r="M28" s="99" t="n">
        <x:f>'Assumptions'!$B$11</x:f>
        <x:v>0</x:v>
      </x:c>
      <x:c r="N28" s="99" t="n">
        <x:f>SUM(H28:M28)</x:f>
        <x:v>459.25</x:v>
      </x:c>
      <x:c r="O28" s="99" t="n">
        <x:f>G28-N28</x:f>
        <x:v>100.75</x:v>
      </x:c>
      <x:c r="P28" s="99" t="n">
        <x:f>P27+O28</x:f>
        <x:v>-17.5</x:v>
      </x:c>
    </x:row>
    <x:row r="29" ht="15" hidden="0" customHeight="1">
      <x:c r="A29" s="88" t="str">
        <x:v>Optimistic</x:v>
      </x:c>
      <x:c r="B29" s="88" t="str">
        <x:v>M3</x:v>
      </x:c>
      <x:c r="C29" s="98" t="n">
        <x:f>F28</x:f>
        <x:v>7</x:v>
      </x:c>
      <x:c r="D29" s="98" t="n">
        <x:f>'Assumptions'!D$33</x:f>
        <x:v>5</x:v>
      </x:c>
      <x:c r="E29" s="98" t="n">
        <x:f>ROUND(C29*'Assumptions'!$C$6,0)</x:f>
        <x:v>0</x:v>
      </x:c>
      <x:c r="F29" s="98" t="n">
        <x:f>C29+D29-E29</x:f>
        <x:v>12</x:v>
      </x:c>
      <x:c r="G29" s="99" t="n">
        <x:f>F29*'Assumptions'!$B$6</x:f>
        <x:v>960</x:v>
      </x:c>
      <x:c r="H29" s="99" t="n">
        <x:f>F29*('Assumptions'!$B$6*'Assumptions'!$B$9+'Assumptions'!$B$10)</x:f>
        <x:v>17.4</x:v>
      </x:c>
      <x:c r="I29" s="99" t="n">
        <x:f>F29*SUM('Assumptions'!$E$6:$H$6)</x:f>
        <x:v>15.599999999999998</x:v>
      </x:c>
      <x:c r="J29" s="99" t="n">
        <x:f>IF(F29&lt;=10,'Assumptions'!$B$24,IF(F29&lt;=25,'Assumptions'!$C$24,IF(F29&lt;=50,'Assumptions'!$D$24,IF(F29&lt;=100,'Assumptions'!$E$24,'Assumptions'!$F$24))))</x:f>
        <x:v>55</x:v>
      </x:c>
      <x:c r="K29" s="99" t="n">
        <x:f>IF(F29&lt;=10,'Assumptions'!$B$27,IF(F29&lt;=25,'Assumptions'!$C$27,IF(F29&lt;=50,'Assumptions'!$D$27,IF(F29&lt;=100,'Assumptions'!$E$27,'Assumptions'!$F$27))))</x:f>
        <x:v>75</x:v>
      </x:c>
      <x:c r="L29" s="99" t="n">
        <x:f>D29*'Assumptions'!$D$6</x:f>
        <x:v>450</x:v>
      </x:c>
      <x:c r="M29" s="99" t="n">
        <x:f>'Assumptions'!$B$11</x:f>
        <x:v>0</x:v>
      </x:c>
      <x:c r="N29" s="99" t="n">
        <x:f>SUM(H29:M29)</x:f>
        <x:v>613</x:v>
      </x:c>
      <x:c r="O29" s="99" t="n">
        <x:f>G29-N29</x:f>
        <x:v>347</x:v>
      </x:c>
      <x:c r="P29" s="99" t="n">
        <x:f>P28+O29</x:f>
        <x:v>329.5</x:v>
      </x:c>
    </x:row>
    <x:row r="30" ht="15" hidden="0" customHeight="1">
      <x:c r="A30" s="88" t="str">
        <x:v>Optimistic</x:v>
      </x:c>
      <x:c r="B30" s="88" t="str">
        <x:v>M4</x:v>
      </x:c>
      <x:c r="C30" s="98" t="n">
        <x:f>F29</x:f>
        <x:v>12</x:v>
      </x:c>
      <x:c r="D30" s="98" t="n">
        <x:f>'Assumptions'!E$33</x:f>
        <x:v>6</x:v>
      </x:c>
      <x:c r="E30" s="98" t="n">
        <x:f>ROUND(C30*'Assumptions'!$C$6,0)</x:f>
        <x:v>0</x:v>
      </x:c>
      <x:c r="F30" s="98" t="n">
        <x:f>C30+D30-E30</x:f>
        <x:v>18</x:v>
      </x:c>
      <x:c r="G30" s="99" t="n">
        <x:f>F30*'Assumptions'!$B$6</x:f>
        <x:v>1440</x:v>
      </x:c>
      <x:c r="H30" s="99" t="n">
        <x:f>F30*('Assumptions'!$B$6*'Assumptions'!$B$9+'Assumptions'!$B$10)</x:f>
        <x:v>26.099999999999998</x:v>
      </x:c>
      <x:c r="I30" s="99" t="n">
        <x:f>F30*SUM('Assumptions'!$E$6:$H$6)</x:f>
        <x:v>23.4</x:v>
      </x:c>
      <x:c r="J30" s="99" t="n">
        <x:f>IF(F30&lt;=10,'Assumptions'!$B$24,IF(F30&lt;=25,'Assumptions'!$C$24,IF(F30&lt;=50,'Assumptions'!$D$24,IF(F30&lt;=100,'Assumptions'!$E$24,'Assumptions'!$F$24))))</x:f>
        <x:v>55</x:v>
      </x:c>
      <x:c r="K30" s="99" t="n">
        <x:f>IF(F30&lt;=10,'Assumptions'!$B$27,IF(F30&lt;=25,'Assumptions'!$C$27,IF(F30&lt;=50,'Assumptions'!$D$27,IF(F30&lt;=100,'Assumptions'!$E$27,'Assumptions'!$F$27))))</x:f>
        <x:v>75</x:v>
      </x:c>
      <x:c r="L30" s="99" t="n">
        <x:f>D30*'Assumptions'!$D$6</x:f>
        <x:v>540</x:v>
      </x:c>
      <x:c r="M30" s="99" t="n">
        <x:f>'Assumptions'!$B$11</x:f>
        <x:v>0</x:v>
      </x:c>
      <x:c r="N30" s="99" t="n">
        <x:f>SUM(H30:M30)</x:f>
        <x:v>719.5</x:v>
      </x:c>
      <x:c r="O30" s="99" t="n">
        <x:f>G30-N30</x:f>
        <x:v>720.5</x:v>
      </x:c>
      <x:c r="P30" s="99" t="n">
        <x:f>P29+O30</x:f>
        <x:v>1050</x:v>
      </x:c>
    </x:row>
    <x:row r="31" ht="15" hidden="0" customHeight="1">
      <x:c r="A31" s="88" t="str">
        <x:v>Optimistic</x:v>
      </x:c>
      <x:c r="B31" s="88" t="str">
        <x:v>M5</x:v>
      </x:c>
      <x:c r="C31" s="98" t="n">
        <x:f>F30</x:f>
        <x:v>18</x:v>
      </x:c>
      <x:c r="D31" s="98" t="n">
        <x:f>'Assumptions'!F$33</x:f>
        <x:v>7</x:v>
      </x:c>
      <x:c r="E31" s="98" t="n">
        <x:f>ROUND(C31*'Assumptions'!$C$6,0)</x:f>
        <x:v>0</x:v>
      </x:c>
      <x:c r="F31" s="98" t="n">
        <x:f>C31+D31-E31</x:f>
        <x:v>25</x:v>
      </x:c>
      <x:c r="G31" s="99" t="n">
        <x:f>F31*'Assumptions'!$B$6</x:f>
        <x:v>2000</x:v>
      </x:c>
      <x:c r="H31" s="99" t="n">
        <x:f>F31*('Assumptions'!$B$6*'Assumptions'!$B$9+'Assumptions'!$B$10)</x:f>
        <x:v>36.25</x:v>
      </x:c>
      <x:c r="I31" s="99" t="n">
        <x:f>F31*SUM('Assumptions'!$E$6:$H$6)</x:f>
        <x:v>32.49999999999999</x:v>
      </x:c>
      <x:c r="J31" s="99" t="n">
        <x:f>IF(F31&lt;=10,'Assumptions'!$B$24,IF(F31&lt;=25,'Assumptions'!$C$24,IF(F31&lt;=50,'Assumptions'!$D$24,IF(F31&lt;=100,'Assumptions'!$E$24,'Assumptions'!$F$24))))</x:f>
        <x:v>55</x:v>
      </x:c>
      <x:c r="K31" s="99" t="n">
        <x:f>IF(F31&lt;=10,'Assumptions'!$B$27,IF(F31&lt;=25,'Assumptions'!$C$27,IF(F31&lt;=50,'Assumptions'!$D$27,IF(F31&lt;=100,'Assumptions'!$E$27,'Assumptions'!$F$27))))</x:f>
        <x:v>75</x:v>
      </x:c>
      <x:c r="L31" s="99" t="n">
        <x:f>D31*'Assumptions'!$D$6</x:f>
        <x:v>630</x:v>
      </x:c>
      <x:c r="M31" s="99" t="n">
        <x:f>'Assumptions'!$B$11</x:f>
        <x:v>0</x:v>
      </x:c>
      <x:c r="N31" s="99" t="n">
        <x:f>SUM(H31:M31)</x:f>
        <x:v>828.75</x:v>
      </x:c>
      <x:c r="O31" s="99" t="n">
        <x:f>G31-N31</x:f>
        <x:v>1171.25</x:v>
      </x:c>
      <x:c r="P31" s="99" t="n">
        <x:f>P30+O31</x:f>
        <x:v>2221.25</x:v>
      </x:c>
    </x:row>
    <x:row r="32" ht="15" hidden="0" customHeight="1">
      <x:c r="A32" s="88" t="str">
        <x:v>Optimistic</x:v>
      </x:c>
      <x:c r="B32" s="88" t="str">
        <x:v>M6</x:v>
      </x:c>
      <x:c r="C32" s="98" t="n">
        <x:f>F31</x:f>
        <x:v>25</x:v>
      </x:c>
      <x:c r="D32" s="98" t="n">
        <x:f>'Assumptions'!G$33</x:f>
        <x:v>8</x:v>
      </x:c>
      <x:c r="E32" s="98" t="n">
        <x:f>ROUND(C32*'Assumptions'!$C$6,0)</x:f>
        <x:v>0</x:v>
      </x:c>
      <x:c r="F32" s="98" t="n">
        <x:f>C32+D32-E32</x:f>
        <x:v>33</x:v>
      </x:c>
      <x:c r="G32" s="99" t="n">
        <x:f>F32*'Assumptions'!$B$6</x:f>
        <x:v>2640</x:v>
      </x:c>
      <x:c r="H32" s="99" t="n">
        <x:f>F32*('Assumptions'!$B$6*'Assumptions'!$B$9+'Assumptions'!$B$10)</x:f>
        <x:v>47.85</x:v>
      </x:c>
      <x:c r="I32" s="99" t="n">
        <x:f>F32*SUM('Assumptions'!$E$6:$H$6)</x:f>
        <x:v>42.89999999999999</x:v>
      </x:c>
      <x:c r="J32" s="99" t="n">
        <x:f>IF(F32&lt;=10,'Assumptions'!$B$24,IF(F32&lt;=25,'Assumptions'!$C$24,IF(F32&lt;=50,'Assumptions'!$D$24,IF(F32&lt;=100,'Assumptions'!$E$24,'Assumptions'!$F$24))))</x:f>
        <x:v>90</x:v>
      </x:c>
      <x:c r="K32" s="99" t="n">
        <x:f>IF(F32&lt;=10,'Assumptions'!$B$27,IF(F32&lt;=25,'Assumptions'!$C$27,IF(F32&lt;=50,'Assumptions'!$D$27,IF(F32&lt;=100,'Assumptions'!$E$27,'Assumptions'!$F$27))))</x:f>
        <x:v>150</x:v>
      </x:c>
      <x:c r="L32" s="99" t="n">
        <x:f>D32*'Assumptions'!$D$6</x:f>
        <x:v>720</x:v>
      </x:c>
      <x:c r="M32" s="99" t="n">
        <x:f>'Assumptions'!$B$11</x:f>
        <x:v>0</x:v>
      </x:c>
      <x:c r="N32" s="99" t="n">
        <x:f>SUM(H32:M32)</x:f>
        <x:v>1050.75</x:v>
      </x:c>
      <x:c r="O32" s="99" t="n">
        <x:f>G32-N32</x:f>
        <x:v>1589.25</x:v>
      </x:c>
      <x:c r="P32" s="99" t="n">
        <x:f>P31+O32</x:f>
        <x:v>3810.5</x:v>
      </x:c>
    </x:row>
    <x:row r="33" ht="15" hidden="0" customHeight="1">
      <x:c r="A33" s="88" t="str">
        <x:v>Optimistic</x:v>
      </x:c>
      <x:c r="B33" s="88" t="str">
        <x:v>M7</x:v>
      </x:c>
      <x:c r="C33" s="98" t="n">
        <x:f>F32</x:f>
        <x:v>33</x:v>
      </x:c>
      <x:c r="D33" s="98" t="n">
        <x:f>'Assumptions'!H$33</x:f>
        <x:v>10</x:v>
      </x:c>
      <x:c r="E33" s="98" t="n">
        <x:f>ROUND(C33*'Assumptions'!$C$6,0)</x:f>
        <x:v>0</x:v>
      </x:c>
      <x:c r="F33" s="98" t="n">
        <x:f>C33+D33-E33</x:f>
        <x:v>43</x:v>
      </x:c>
      <x:c r="G33" s="99" t="n">
        <x:f>F33*'Assumptions'!$B$6</x:f>
        <x:v>3440</x:v>
      </x:c>
      <x:c r="H33" s="99" t="n">
        <x:f>F33*('Assumptions'!$B$6*'Assumptions'!$B$9+'Assumptions'!$B$10)</x:f>
        <x:v>62.35</x:v>
      </x:c>
      <x:c r="I33" s="99" t="n">
        <x:f>F33*SUM('Assumptions'!$E$6:$H$6)</x:f>
        <x:v>55.89999999999999</x:v>
      </x:c>
      <x:c r="J33" s="99" t="n">
        <x:f>IF(F33&lt;=10,'Assumptions'!$B$24,IF(F33&lt;=25,'Assumptions'!$C$24,IF(F33&lt;=50,'Assumptions'!$D$24,IF(F33&lt;=100,'Assumptions'!$E$24,'Assumptions'!$F$24))))</x:f>
        <x:v>90</x:v>
      </x:c>
      <x:c r="K33" s="99" t="n">
        <x:f>IF(F33&lt;=10,'Assumptions'!$B$27,IF(F33&lt;=25,'Assumptions'!$C$27,IF(F33&lt;=50,'Assumptions'!$D$27,IF(F33&lt;=100,'Assumptions'!$E$27,'Assumptions'!$F$27))))</x:f>
        <x:v>150</x:v>
      </x:c>
      <x:c r="L33" s="99" t="n">
        <x:f>D33*'Assumptions'!$D$6</x:f>
        <x:v>900</x:v>
      </x:c>
      <x:c r="M33" s="99" t="n">
        <x:f>'Assumptions'!$B$11</x:f>
        <x:v>0</x:v>
      </x:c>
      <x:c r="N33" s="99" t="n">
        <x:f>SUM(H33:M33)</x:f>
        <x:v>1258.25</x:v>
      </x:c>
      <x:c r="O33" s="99" t="n">
        <x:f>G33-N33</x:f>
        <x:v>2181.75</x:v>
      </x:c>
      <x:c r="P33" s="99" t="n">
        <x:f>P32+O33</x:f>
        <x:v>5992.25</x:v>
      </x:c>
    </x:row>
    <x:row r="34" ht="15" hidden="0" customHeight="1">
      <x:c r="A34" s="88" t="str">
        <x:v>Optimistic</x:v>
      </x:c>
      <x:c r="B34" s="88" t="str">
        <x:v>M8</x:v>
      </x:c>
      <x:c r="C34" s="98" t="n">
        <x:f>F33</x:f>
        <x:v>43</x:v>
      </x:c>
      <x:c r="D34" s="98" t="n">
        <x:f>'Assumptions'!I$33</x:f>
        <x:v>12</x:v>
      </x:c>
      <x:c r="E34" s="98" t="n">
        <x:f>ROUND(C34*'Assumptions'!$C$6,0)</x:f>
        <x:v>1</x:v>
      </x:c>
      <x:c r="F34" s="98" t="n">
        <x:f>C34+D34-E34</x:f>
        <x:v>54</x:v>
      </x:c>
      <x:c r="G34" s="99" t="n">
        <x:f>F34*'Assumptions'!$B$6</x:f>
        <x:v>4320</x:v>
      </x:c>
      <x:c r="H34" s="99" t="n">
        <x:f>F34*('Assumptions'!$B$6*'Assumptions'!$B$9+'Assumptions'!$B$10)</x:f>
        <x:v>78.3</x:v>
      </x:c>
      <x:c r="I34" s="99" t="n">
        <x:f>F34*SUM('Assumptions'!$E$6:$H$6)</x:f>
        <x:v>70.19999999999999</x:v>
      </x:c>
      <x:c r="J34" s="99" t="n">
        <x:f>IF(F34&lt;=10,'Assumptions'!$B$24,IF(F34&lt;=25,'Assumptions'!$C$24,IF(F34&lt;=50,'Assumptions'!$D$24,IF(F34&lt;=100,'Assumptions'!$E$24,'Assumptions'!$F$24))))</x:f>
        <x:v>150</x:v>
      </x:c>
      <x:c r="K34" s="99" t="n">
        <x:f>IF(F34&lt;=10,'Assumptions'!$B$27,IF(F34&lt;=25,'Assumptions'!$C$27,IF(F34&lt;=50,'Assumptions'!$D$27,IF(F34&lt;=100,'Assumptions'!$E$27,'Assumptions'!$F$27))))</x:f>
        <x:v>275</x:v>
      </x:c>
      <x:c r="L34" s="99" t="n">
        <x:f>D34*'Assumptions'!$D$6</x:f>
        <x:v>1080</x:v>
      </x:c>
      <x:c r="M34" s="99" t="n">
        <x:f>'Assumptions'!$B$11</x:f>
        <x:v>0</x:v>
      </x:c>
      <x:c r="N34" s="99" t="n">
        <x:f>SUM(H34:M34)</x:f>
        <x:v>1653.5</x:v>
      </x:c>
      <x:c r="O34" s="99" t="n">
        <x:f>G34-N34</x:f>
        <x:v>2666.5</x:v>
      </x:c>
      <x:c r="P34" s="99" t="n">
        <x:f>P33+O34</x:f>
        <x:v>8658.75</x:v>
      </x:c>
    </x:row>
    <x:row r="35" ht="15" hidden="0" customHeight="1">
      <x:c r="A35" s="88" t="str">
        <x:v>Optimistic</x:v>
      </x:c>
      <x:c r="B35" s="88" t="str">
        <x:v>M9</x:v>
      </x:c>
      <x:c r="C35" s="98" t="n">
        <x:f>F34</x:f>
        <x:v>54</x:v>
      </x:c>
      <x:c r="D35" s="98" t="n">
        <x:f>'Assumptions'!J$33</x:f>
        <x:v>15</x:v>
      </x:c>
      <x:c r="E35" s="98" t="n">
        <x:f>ROUND(C35*'Assumptions'!$C$6,0)</x:f>
        <x:v>1</x:v>
      </x:c>
      <x:c r="F35" s="98" t="n">
        <x:f>C35+D35-E35</x:f>
        <x:v>68</x:v>
      </x:c>
      <x:c r="G35" s="99" t="n">
        <x:f>F35*'Assumptions'!$B$6</x:f>
        <x:v>5440</x:v>
      </x:c>
      <x:c r="H35" s="99" t="n">
        <x:f>F35*('Assumptions'!$B$6*'Assumptions'!$B$9+'Assumptions'!$B$10)</x:f>
        <x:v>98.6</x:v>
      </x:c>
      <x:c r="I35" s="99" t="n">
        <x:f>F35*SUM('Assumptions'!$E$6:$H$6)</x:f>
        <x:v>88.39999999999999</x:v>
      </x:c>
      <x:c r="J35" s="99" t="n">
        <x:f>IF(F35&lt;=10,'Assumptions'!$B$24,IF(F35&lt;=25,'Assumptions'!$C$24,IF(F35&lt;=50,'Assumptions'!$D$24,IF(F35&lt;=100,'Assumptions'!$E$24,'Assumptions'!$F$24))))</x:f>
        <x:v>150</x:v>
      </x:c>
      <x:c r="K35" s="99" t="n">
        <x:f>IF(F35&lt;=10,'Assumptions'!$B$27,IF(F35&lt;=25,'Assumptions'!$C$27,IF(F35&lt;=50,'Assumptions'!$D$27,IF(F35&lt;=100,'Assumptions'!$E$27,'Assumptions'!$F$27))))</x:f>
        <x:v>275</x:v>
      </x:c>
      <x:c r="L35" s="99" t="n">
        <x:f>D35*'Assumptions'!$D$6</x:f>
        <x:v>1350</x:v>
      </x:c>
      <x:c r="M35" s="99" t="n">
        <x:f>'Assumptions'!$B$11</x:f>
        <x:v>0</x:v>
      </x:c>
      <x:c r="N35" s="99" t="n">
        <x:f>SUM(H35:M35)</x:f>
        <x:v>1962</x:v>
      </x:c>
      <x:c r="O35" s="99" t="n">
        <x:f>G35-N35</x:f>
        <x:v>3478</x:v>
      </x:c>
      <x:c r="P35" s="99" t="n">
        <x:f>P34+O35</x:f>
        <x:v>12136.75</x:v>
      </x:c>
    </x:row>
    <x:row r="36" ht="15" hidden="0" customHeight="1">
      <x:c r="A36" s="88" t="str">
        <x:v>Optimistic</x:v>
      </x:c>
      <x:c r="B36" s="88" t="str">
        <x:v>M10</x:v>
      </x:c>
      <x:c r="C36" s="98" t="n">
        <x:f>F35</x:f>
        <x:v>68</x:v>
      </x:c>
      <x:c r="D36" s="98" t="n">
        <x:f>'Assumptions'!K$33</x:f>
        <x:v>18</x:v>
      </x:c>
      <x:c r="E36" s="98" t="n">
        <x:f>ROUND(C36*'Assumptions'!$C$6,0)</x:f>
        <x:v>1</x:v>
      </x:c>
      <x:c r="F36" s="98" t="n">
        <x:f>C36+D36-E36</x:f>
        <x:v>85</x:v>
      </x:c>
      <x:c r="G36" s="99" t="n">
        <x:f>F36*'Assumptions'!$B$6</x:f>
        <x:v>6800</x:v>
      </x:c>
      <x:c r="H36" s="99" t="n">
        <x:f>F36*('Assumptions'!$B$6*'Assumptions'!$B$9+'Assumptions'!$B$10)</x:f>
        <x:v>123.25</x:v>
      </x:c>
      <x:c r="I36" s="99" t="n">
        <x:f>F36*SUM('Assumptions'!$E$6:$H$6)</x:f>
        <x:v>110.49999999999999</x:v>
      </x:c>
      <x:c r="J36" s="99" t="n">
        <x:f>IF(F36&lt;=10,'Assumptions'!$B$24,IF(F36&lt;=25,'Assumptions'!$C$24,IF(F36&lt;=50,'Assumptions'!$D$24,IF(F36&lt;=100,'Assumptions'!$E$24,'Assumptions'!$F$24))))</x:f>
        <x:v>150</x:v>
      </x:c>
      <x:c r="K36" s="99" t="n">
        <x:f>IF(F36&lt;=10,'Assumptions'!$B$27,IF(F36&lt;=25,'Assumptions'!$C$27,IF(F36&lt;=50,'Assumptions'!$D$27,IF(F36&lt;=100,'Assumptions'!$E$27,'Assumptions'!$F$27))))</x:f>
        <x:v>275</x:v>
      </x:c>
      <x:c r="L36" s="99" t="n">
        <x:f>D36*'Assumptions'!$D$6</x:f>
        <x:v>1620</x:v>
      </x:c>
      <x:c r="M36" s="99" t="n">
        <x:f>'Assumptions'!$B$11</x:f>
        <x:v>0</x:v>
      </x:c>
      <x:c r="N36" s="99" t="n">
        <x:f>SUM(H36:M36)</x:f>
        <x:v>2278.75</x:v>
      </x:c>
      <x:c r="O36" s="99" t="n">
        <x:f>G36-N36</x:f>
        <x:v>4521.25</x:v>
      </x:c>
      <x:c r="P36" s="99" t="n">
        <x:f>P35+O36</x:f>
        <x:v>16658</x:v>
      </x:c>
    </x:row>
    <x:row r="37" ht="15" hidden="0" customHeight="1">
      <x:c r="A37" s="88" t="str">
        <x:v>Optimistic</x:v>
      </x:c>
      <x:c r="B37" s="88" t="str">
        <x:v>M11</x:v>
      </x:c>
      <x:c r="C37" s="98" t="n">
        <x:f>F36</x:f>
        <x:v>85</x:v>
      </x:c>
      <x:c r="D37" s="98" t="n">
        <x:f>'Assumptions'!L$33</x:f>
        <x:v>22</x:v>
      </x:c>
      <x:c r="E37" s="98" t="n">
        <x:f>ROUND(C37*'Assumptions'!$C$6,0)</x:f>
        <x:v>1</x:v>
      </x:c>
      <x:c r="F37" s="98" t="n">
        <x:f>C37+D37-E37</x:f>
        <x:v>106</x:v>
      </x:c>
      <x:c r="G37" s="99" t="n">
        <x:f>F37*'Assumptions'!$B$6</x:f>
        <x:v>8480</x:v>
      </x:c>
      <x:c r="H37" s="99" t="n">
        <x:f>F37*('Assumptions'!$B$6*'Assumptions'!$B$9+'Assumptions'!$B$10)</x:f>
        <x:v>153.7</x:v>
      </x:c>
      <x:c r="I37" s="99" t="n">
        <x:f>F37*SUM('Assumptions'!$E$6:$H$6)</x:f>
        <x:v>137.79999999999998</x:v>
      </x:c>
      <x:c r="J37" s="99" t="n">
        <x:f>IF(F37&lt;=10,'Assumptions'!$B$24,IF(F37&lt;=25,'Assumptions'!$C$24,IF(F37&lt;=50,'Assumptions'!$D$24,IF(F37&lt;=100,'Assumptions'!$E$24,'Assumptions'!$F$24))))</x:f>
        <x:v>350</x:v>
      </x:c>
      <x:c r="K37" s="99" t="n">
        <x:f>IF(F37&lt;=10,'Assumptions'!$B$27,IF(F37&lt;=25,'Assumptions'!$C$27,IF(F37&lt;=50,'Assumptions'!$D$27,IF(F37&lt;=100,'Assumptions'!$E$27,'Assumptions'!$F$27))))</x:f>
        <x:v>600</x:v>
      </x:c>
      <x:c r="L37" s="99" t="n">
        <x:f>D37*'Assumptions'!$D$6</x:f>
        <x:v>1980</x:v>
      </x:c>
      <x:c r="M37" s="99" t="n">
        <x:f>'Assumptions'!$B$11</x:f>
        <x:v>0</x:v>
      </x:c>
      <x:c r="N37" s="99" t="n">
        <x:f>SUM(H37:M37)</x:f>
        <x:v>3221.5</x:v>
      </x:c>
      <x:c r="O37" s="99" t="n">
        <x:f>G37-N37</x:f>
        <x:v>5258.5</x:v>
      </x:c>
      <x:c r="P37" s="99" t="n">
        <x:f>P36+O37</x:f>
        <x:v>21916.5</x:v>
      </x:c>
    </x:row>
    <x:row r="38" ht="15" hidden="0" customHeight="1">
      <x:c r="A38" s="88" t="str">
        <x:v>Optimistic</x:v>
      </x:c>
      <x:c r="B38" s="88" t="str">
        <x:v>M12</x:v>
      </x:c>
      <x:c r="C38" s="98" t="n">
        <x:f>F37</x:f>
        <x:v>106</x:v>
      </x:c>
      <x:c r="D38" s="98" t="n">
        <x:f>'Assumptions'!M$33</x:f>
        <x:v>25</x:v>
      </x:c>
      <x:c r="E38" s="98" t="n">
        <x:f>ROUND(C38*'Assumptions'!$C$6,0)</x:f>
        <x:v>2</x:v>
      </x:c>
      <x:c r="F38" s="98" t="n">
        <x:f>C38+D38-E38</x:f>
        <x:v>129</x:v>
      </x:c>
      <x:c r="G38" s="99" t="n">
        <x:f>F38*'Assumptions'!$B$6</x:f>
        <x:v>10320</x:v>
      </x:c>
      <x:c r="H38" s="99" t="n">
        <x:f>F38*('Assumptions'!$B$6*'Assumptions'!$B$9+'Assumptions'!$B$10)</x:f>
        <x:v>187.04999999999998</x:v>
      </x:c>
      <x:c r="I38" s="99" t="n">
        <x:f>F38*SUM('Assumptions'!$E$6:$H$6)</x:f>
        <x:v>167.7</x:v>
      </x:c>
      <x:c r="J38" s="99" t="n">
        <x:f>IF(F38&lt;=10,'Assumptions'!$B$24,IF(F38&lt;=25,'Assumptions'!$C$24,IF(F38&lt;=50,'Assumptions'!$D$24,IF(F38&lt;=100,'Assumptions'!$E$24,'Assumptions'!$F$24))))</x:f>
        <x:v>350</x:v>
      </x:c>
      <x:c r="K38" s="99" t="n">
        <x:f>IF(F38&lt;=10,'Assumptions'!$B$27,IF(F38&lt;=25,'Assumptions'!$C$27,IF(F38&lt;=50,'Assumptions'!$D$27,IF(F38&lt;=100,'Assumptions'!$E$27,'Assumptions'!$F$27))))</x:f>
        <x:v>600</x:v>
      </x:c>
      <x:c r="L38" s="99" t="n">
        <x:f>D38*'Assumptions'!$D$6</x:f>
        <x:v>2250</x:v>
      </x:c>
      <x:c r="M38" s="99" t="n">
        <x:f>'Assumptions'!$B$11</x:f>
        <x:v>0</x:v>
      </x:c>
      <x:c r="N38" s="99" t="n">
        <x:f>SUM(H38:M38)</x:f>
        <x:v>3554.75</x:v>
      </x:c>
      <x:c r="O38" s="99" t="n">
        <x:f>G38-N38</x:f>
        <x:v>6765.25</x:v>
      </x:c>
      <x:c r="P38" s="99" t="n">
        <x:f>P37+O38</x:f>
        <x:v>28681.75</x:v>
      </x:c>
    </x:row>
  </x:sheetData>
  <x:mergeCells>
    <x:mergeCell ref="A1:P1"/>
  </x:mergeCells>
  <x:conditionalFormatting sqref="O3:P38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6.110000133514404" hidden="0" customWidth="1"/>
    <x:col min="6" max="6" width="17.670000076293945" hidden="0" customWidth="1"/>
  </x:cols>
  <x:sheetData>
    <x:row r="1" ht="19.200000762939453" hidden="0" customHeight="1">
      <x:c r="A1" s="165" t="str">
        <x:v>Sensitivity — Expected Scenario</x:v>
      </x:c>
      <x:c r="B1" s="166"/>
      <x:c r="C1" s="166"/>
      <x:c r="D1" s="166"/>
      <x:c r="E1" s="166"/>
      <x:c r="F1" s="166"/>
      <x:c r="G1" s="167"/>
      <x:c r="H1" s="167"/>
    </x:row>
    <x:row r="2" ht="15" hidden="0" customHeight="1">
      <x:c r="A2" s="88"/>
      <x:c r="B2" s="88"/>
      <x:c r="C2" s="88"/>
      <x:c r="D2" s="88"/>
      <x:c r="E2" s="88"/>
      <x:c r="F2" s="88"/>
    </x:row>
    <x:row r="3" ht="15" hidden="0" customHeight="1">
      <x:c r="A3" s="81" t="str">
        <x:v>Monthly operating profit by client count and AI cost per client</x:v>
      </x:c>
      <x:c r="B3" s="88"/>
      <x:c r="C3" s="88"/>
      <x:c r="D3" s="88"/>
      <x:c r="E3" s="88"/>
      <x:c r="F3" s="88"/>
    </x:row>
    <x:row r="4" ht="36" hidden="0" customHeight="1">
      <x:c r="A4" s="82" t="str">
        <x:v>Clients</x:v>
      </x:c>
      <x:c r="B4" s="83" t="str">
        <x:v>€0.50 AI</x:v>
      </x:c>
      <x:c r="C4" s="83" t="str">
        <x:v>€1.50 AI</x:v>
      </x:c>
      <x:c r="D4" s="83" t="str">
        <x:v>€3.00 AI</x:v>
      </x:c>
      <x:c r="E4" s="83" t="str">
        <x:v>€5.00 AI</x:v>
      </x:c>
      <x:c r="F4" s="84" t="str">
        <x:v>Base fixed/overhead tier</x:v>
      </x:c>
    </x:row>
    <x:row r="5" ht="15" hidden="0" customHeight="1">
      <x:c r="A5" s="88" t="n">
        <x:v>5</x:v>
      </x:c>
      <x:c r="B5" s="99" t="n">
        <x:f>A5*'Assumptions'!$B$5-A5*('Assumptions'!$B$5*'Assumptions'!$B$9+'Assumptions'!$B$10+0.5+'Assumptions'!$F$5+'Assumptions'!$G$5+'Assumptions'!$H$5)-IF(A5&lt;=10,'Assumptions'!$B$23,IF(A5&lt;=25,'Assumptions'!$C$23,IF(A5&lt;=50,'Assumptions'!$D$23,IF(A5&lt;=100,'Assumptions'!$E$23,'Assumptions'!$F$23))))-IF(A5&lt;=10,'Assumptions'!$B$26,IF(A5&lt;=25,'Assumptions'!$C$26,IF(A5&lt;=50,'Assumptions'!$D$26,IF(A5&lt;=100,'Assumptions'!$E$26,'Assumptions'!$F$26))))</x:f>
        <x:v>265</x:v>
      </x:c>
      <x:c r="C5" s="99" t="n">
        <x:f>A5*'Assumptions'!$B$5-A5*('Assumptions'!$B$5*'Assumptions'!$B$9+'Assumptions'!$B$10+1.5+'Assumptions'!$F$5+'Assumptions'!$G$5+'Assumptions'!$H$5)-IF(A5&lt;=10,'Assumptions'!$B$23,IF(A5&lt;=25,'Assumptions'!$C$23,IF(A5&lt;=50,'Assumptions'!$D$23,IF(A5&lt;=100,'Assumptions'!$E$23,'Assumptions'!$F$23))))-IF(A5&lt;=10,'Assumptions'!$B$26,IF(A5&lt;=25,'Assumptions'!$C$26,IF(A5&lt;=50,'Assumptions'!$D$26,IF(A5&lt;=100,'Assumptions'!$E$26,'Assumptions'!$F$26))))</x:f>
        <x:v>260</x:v>
      </x:c>
      <x:c r="D5" s="99" t="n">
        <x:f>A5*'Assumptions'!$B$5-A5*('Assumptions'!$B$5*'Assumptions'!$B$9+'Assumptions'!$B$10+3+'Assumptions'!$F$5+'Assumptions'!$G$5+'Assumptions'!$H$5)-IF(A5&lt;=10,'Assumptions'!$B$23,IF(A5&lt;=25,'Assumptions'!$C$23,IF(A5&lt;=50,'Assumptions'!$D$23,IF(A5&lt;=100,'Assumptions'!$E$23,'Assumptions'!$F$23))))-IF(A5&lt;=10,'Assumptions'!$B$26,IF(A5&lt;=25,'Assumptions'!$C$26,IF(A5&lt;=50,'Assumptions'!$D$26,IF(A5&lt;=100,'Assumptions'!$E$26,'Assumptions'!$F$26))))</x:f>
        <x:v>252.5</x:v>
      </x:c>
      <x:c r="E5" s="99" t="n">
        <x:f>A5*'Assumptions'!$B$5-A5*('Assumptions'!$B$5*'Assumptions'!$B$9+'Assumptions'!$B$10+5+'Assumptions'!$F$5+'Assumptions'!$G$5+'Assumptions'!$H$5)-IF(A5&lt;=10,'Assumptions'!$B$23,IF(A5&lt;=25,'Assumptions'!$C$23,IF(A5&lt;=50,'Assumptions'!$D$23,IF(A5&lt;=100,'Assumptions'!$E$23,'Assumptions'!$F$23))))-IF(A5&lt;=10,'Assumptions'!$B$26,IF(A5&lt;=25,'Assumptions'!$C$26,IF(A5&lt;=50,'Assumptions'!$D$26,IF(A5&lt;=100,'Assumptions'!$E$26,'Assumptions'!$F$26))))</x:f>
        <x:v>242.5</x:v>
      </x:c>
      <x:c r="F5" s="99" t="n">
        <x:f>IF(A5&lt;=10,'Assumptions'!$B$23+'Assumptions'!$B$26,IF(A5&lt;=25,'Assumptions'!$C$23+'Assumptions'!$C$26,IF(A5&lt;=50,'Assumptions'!$D$23+'Assumptions'!$D$26,IF(A5&lt;=100,'Assumptions'!$E$23+'Assumptions'!$E$26,'Assumptions'!$F$23+'Assumptions'!$F$26))))</x:f>
        <x:v>120</x:v>
      </x:c>
    </x:row>
    <x:row r="6" ht="15" hidden="0" customHeight="1">
      <x:c r="A6" s="88" t="n">
        <x:v>10</x:v>
      </x:c>
      <x:c r="B6" s="99" t="n">
        <x:f>A6*'Assumptions'!$B$5-A6*('Assumptions'!$B$5*'Assumptions'!$B$9+'Assumptions'!$B$10+0.5+'Assumptions'!$F$5+'Assumptions'!$G$5+'Assumptions'!$H$5)-IF(A6&lt;=10,'Assumptions'!$B$23,IF(A6&lt;=25,'Assumptions'!$C$23,IF(A6&lt;=50,'Assumptions'!$D$23,IF(A6&lt;=100,'Assumptions'!$E$23,'Assumptions'!$F$23))))-IF(A6&lt;=10,'Assumptions'!$B$26,IF(A6&lt;=25,'Assumptions'!$C$26,IF(A6&lt;=50,'Assumptions'!$D$26,IF(A6&lt;=100,'Assumptions'!$E$26,'Assumptions'!$F$26))))</x:f>
        <x:v>650</x:v>
      </x:c>
      <x:c r="C6" s="99" t="n">
        <x:f>A6*'Assumptions'!$B$5-A6*('Assumptions'!$B$5*'Assumptions'!$B$9+'Assumptions'!$B$10+1.5+'Assumptions'!$F$5+'Assumptions'!$G$5+'Assumptions'!$H$5)-IF(A6&lt;=10,'Assumptions'!$B$23,IF(A6&lt;=25,'Assumptions'!$C$23,IF(A6&lt;=50,'Assumptions'!$D$23,IF(A6&lt;=100,'Assumptions'!$E$23,'Assumptions'!$F$23))))-IF(A6&lt;=10,'Assumptions'!$B$26,IF(A6&lt;=25,'Assumptions'!$C$26,IF(A6&lt;=50,'Assumptions'!$D$26,IF(A6&lt;=100,'Assumptions'!$E$26,'Assumptions'!$F$26))))</x:f>
        <x:v>640</x:v>
      </x:c>
      <x:c r="D6" s="99" t="n">
        <x:f>A6*'Assumptions'!$B$5-A6*('Assumptions'!$B$5*'Assumptions'!$B$9+'Assumptions'!$B$10+3+'Assumptions'!$F$5+'Assumptions'!$G$5+'Assumptions'!$H$5)-IF(A6&lt;=10,'Assumptions'!$B$23,IF(A6&lt;=25,'Assumptions'!$C$23,IF(A6&lt;=50,'Assumptions'!$D$23,IF(A6&lt;=100,'Assumptions'!$E$23,'Assumptions'!$F$23))))-IF(A6&lt;=10,'Assumptions'!$B$26,IF(A6&lt;=25,'Assumptions'!$C$26,IF(A6&lt;=50,'Assumptions'!$D$26,IF(A6&lt;=100,'Assumptions'!$E$26,'Assumptions'!$F$26))))</x:f>
        <x:v>625</x:v>
      </x:c>
      <x:c r="E6" s="99" t="n">
        <x:f>A6*'Assumptions'!$B$5-A6*('Assumptions'!$B$5*'Assumptions'!$B$9+'Assumptions'!$B$10+5+'Assumptions'!$F$5+'Assumptions'!$G$5+'Assumptions'!$H$5)-IF(A6&lt;=10,'Assumptions'!$B$23,IF(A6&lt;=25,'Assumptions'!$C$23,IF(A6&lt;=50,'Assumptions'!$D$23,IF(A6&lt;=100,'Assumptions'!$E$23,'Assumptions'!$F$23))))-IF(A6&lt;=10,'Assumptions'!$B$26,IF(A6&lt;=25,'Assumptions'!$C$26,IF(A6&lt;=50,'Assumptions'!$D$26,IF(A6&lt;=100,'Assumptions'!$E$26,'Assumptions'!$F$26))))</x:f>
        <x:v>605</x:v>
      </x:c>
      <x:c r="F6" s="99" t="n">
        <x:f>IF(A6&lt;=10,'Assumptions'!$B$23+'Assumptions'!$B$26,IF(A6&lt;=25,'Assumptions'!$C$23+'Assumptions'!$C$26,IF(A6&lt;=50,'Assumptions'!$D$23+'Assumptions'!$D$26,IF(A6&lt;=100,'Assumptions'!$E$23+'Assumptions'!$E$26,'Assumptions'!$F$23+'Assumptions'!$F$26))))</x:f>
        <x:v>120</x:v>
      </x:c>
    </x:row>
    <x:row r="7" ht="15" hidden="0" customHeight="1">
      <x:c r="A7" s="88" t="n">
        <x:v>25</x:v>
      </x:c>
      <x:c r="B7" s="99" t="n">
        <x:f>A7*'Assumptions'!$B$5-A7*('Assumptions'!$B$5*'Assumptions'!$B$9+'Assumptions'!$B$10+0.5+'Assumptions'!$F$5+'Assumptions'!$G$5+'Assumptions'!$H$5)-IF(A7&lt;=10,'Assumptions'!$B$23,IF(A7&lt;=25,'Assumptions'!$C$23,IF(A7&lt;=50,'Assumptions'!$D$23,IF(A7&lt;=100,'Assumptions'!$E$23,'Assumptions'!$F$23))))-IF(A7&lt;=10,'Assumptions'!$B$26,IF(A7&lt;=25,'Assumptions'!$C$26,IF(A7&lt;=50,'Assumptions'!$D$26,IF(A7&lt;=100,'Assumptions'!$E$26,'Assumptions'!$F$26))))</x:f>
        <x:v>1755</x:v>
      </x:c>
      <x:c r="C7" s="99" t="n">
        <x:f>A7*'Assumptions'!$B$5-A7*('Assumptions'!$B$5*'Assumptions'!$B$9+'Assumptions'!$B$10+1.5+'Assumptions'!$F$5+'Assumptions'!$G$5+'Assumptions'!$H$5)-IF(A7&lt;=10,'Assumptions'!$B$23,IF(A7&lt;=25,'Assumptions'!$C$23,IF(A7&lt;=50,'Assumptions'!$D$23,IF(A7&lt;=100,'Assumptions'!$E$23,'Assumptions'!$F$23))))-IF(A7&lt;=10,'Assumptions'!$B$26,IF(A7&lt;=25,'Assumptions'!$C$26,IF(A7&lt;=50,'Assumptions'!$D$26,IF(A7&lt;=100,'Assumptions'!$E$26,'Assumptions'!$F$26))))</x:f>
        <x:v>1730</x:v>
      </x:c>
      <x:c r="D7" s="99" t="n">
        <x:f>A7*'Assumptions'!$B$5-A7*('Assumptions'!$B$5*'Assumptions'!$B$9+'Assumptions'!$B$10+3+'Assumptions'!$F$5+'Assumptions'!$G$5+'Assumptions'!$H$5)-IF(A7&lt;=10,'Assumptions'!$B$23,IF(A7&lt;=25,'Assumptions'!$C$23,IF(A7&lt;=50,'Assumptions'!$D$23,IF(A7&lt;=100,'Assumptions'!$E$23,'Assumptions'!$F$23))))-IF(A7&lt;=10,'Assumptions'!$B$26,IF(A7&lt;=25,'Assumptions'!$C$26,IF(A7&lt;=50,'Assumptions'!$D$26,IF(A7&lt;=100,'Assumptions'!$E$26,'Assumptions'!$F$26))))</x:f>
        <x:v>1692.5</x:v>
      </x:c>
      <x:c r="E7" s="99" t="n">
        <x:f>A7*'Assumptions'!$B$5-A7*('Assumptions'!$B$5*'Assumptions'!$B$9+'Assumptions'!$B$10+5+'Assumptions'!$F$5+'Assumptions'!$G$5+'Assumptions'!$H$5)-IF(A7&lt;=10,'Assumptions'!$B$23,IF(A7&lt;=25,'Assumptions'!$C$23,IF(A7&lt;=50,'Assumptions'!$D$23,IF(A7&lt;=100,'Assumptions'!$E$23,'Assumptions'!$F$23))))-IF(A7&lt;=10,'Assumptions'!$B$26,IF(A7&lt;=25,'Assumptions'!$C$26,IF(A7&lt;=50,'Assumptions'!$D$26,IF(A7&lt;=100,'Assumptions'!$E$26,'Assumptions'!$F$26))))</x:f>
        <x:v>1642.5</x:v>
      </x:c>
      <x:c r="F7" s="99" t="n">
        <x:f>IF(A7&lt;=10,'Assumptions'!$B$23+'Assumptions'!$B$26,IF(A7&lt;=25,'Assumptions'!$C$23+'Assumptions'!$C$26,IF(A7&lt;=50,'Assumptions'!$D$23+'Assumptions'!$D$26,IF(A7&lt;=100,'Assumptions'!$E$23+'Assumptions'!$E$26,'Assumptions'!$F$23+'Assumptions'!$F$26))))</x:f>
        <x:v>170</x:v>
      </x:c>
    </x:row>
    <x:row r="8" ht="15" hidden="0" customHeight="1">
      <x:c r="A8" s="88" t="n">
        <x:v>50</x:v>
      </x:c>
      <x:c r="B8" s="99" t="n">
        <x:f>A8*'Assumptions'!$B$5-A8*('Assumptions'!$B$5*'Assumptions'!$B$9+'Assumptions'!$B$10+0.5+'Assumptions'!$F$5+'Assumptions'!$G$5+'Assumptions'!$H$5)-IF(A8&lt;=10,'Assumptions'!$B$23,IF(A8&lt;=25,'Assumptions'!$C$23,IF(A8&lt;=50,'Assumptions'!$D$23,IF(A8&lt;=100,'Assumptions'!$E$23,'Assumptions'!$F$23))))-IF(A8&lt;=10,'Assumptions'!$B$26,IF(A8&lt;=25,'Assumptions'!$C$26,IF(A8&lt;=50,'Assumptions'!$D$26,IF(A8&lt;=100,'Assumptions'!$E$26,'Assumptions'!$F$26))))</x:f>
        <x:v>3560</x:v>
      </x:c>
      <x:c r="C8" s="99" t="n">
        <x:f>A8*'Assumptions'!$B$5-A8*('Assumptions'!$B$5*'Assumptions'!$B$9+'Assumptions'!$B$10+1.5+'Assumptions'!$F$5+'Assumptions'!$G$5+'Assumptions'!$H$5)-IF(A8&lt;=10,'Assumptions'!$B$23,IF(A8&lt;=25,'Assumptions'!$C$23,IF(A8&lt;=50,'Assumptions'!$D$23,IF(A8&lt;=100,'Assumptions'!$E$23,'Assumptions'!$F$23))))-IF(A8&lt;=10,'Assumptions'!$B$26,IF(A8&lt;=25,'Assumptions'!$C$26,IF(A8&lt;=50,'Assumptions'!$D$26,IF(A8&lt;=100,'Assumptions'!$E$26,'Assumptions'!$F$26))))</x:f>
        <x:v>3510</x:v>
      </x:c>
      <x:c r="D8" s="99" t="n">
        <x:f>A8*'Assumptions'!$B$5-A8*('Assumptions'!$B$5*'Assumptions'!$B$9+'Assumptions'!$B$10+3+'Assumptions'!$F$5+'Assumptions'!$G$5+'Assumptions'!$H$5)-IF(A8&lt;=10,'Assumptions'!$B$23,IF(A8&lt;=25,'Assumptions'!$C$23,IF(A8&lt;=50,'Assumptions'!$D$23,IF(A8&lt;=100,'Assumptions'!$E$23,'Assumptions'!$F$23))))-IF(A8&lt;=10,'Assumptions'!$B$26,IF(A8&lt;=25,'Assumptions'!$C$26,IF(A8&lt;=50,'Assumptions'!$D$26,IF(A8&lt;=100,'Assumptions'!$E$26,'Assumptions'!$F$26))))</x:f>
        <x:v>3435</x:v>
      </x:c>
      <x:c r="E8" s="99" t="n">
        <x:f>A8*'Assumptions'!$B$5-A8*('Assumptions'!$B$5*'Assumptions'!$B$9+'Assumptions'!$B$10+5+'Assumptions'!$F$5+'Assumptions'!$G$5+'Assumptions'!$H$5)-IF(A8&lt;=10,'Assumptions'!$B$23,IF(A8&lt;=25,'Assumptions'!$C$23,IF(A8&lt;=50,'Assumptions'!$D$23,IF(A8&lt;=100,'Assumptions'!$E$23,'Assumptions'!$F$23))))-IF(A8&lt;=10,'Assumptions'!$B$26,IF(A8&lt;=25,'Assumptions'!$C$26,IF(A8&lt;=50,'Assumptions'!$D$26,IF(A8&lt;=100,'Assumptions'!$E$26,'Assumptions'!$F$26))))</x:f>
        <x:v>3335</x:v>
      </x:c>
      <x:c r="F8" s="99" t="n">
        <x:f>IF(A8&lt;=10,'Assumptions'!$B$23+'Assumptions'!$B$26,IF(A8&lt;=25,'Assumptions'!$C$23+'Assumptions'!$C$26,IF(A8&lt;=50,'Assumptions'!$D$23+'Assumptions'!$D$26,IF(A8&lt;=100,'Assumptions'!$E$23+'Assumptions'!$E$26,'Assumptions'!$F$23+'Assumptions'!$F$26))))</x:f>
        <x:v>290</x:v>
      </x:c>
    </x:row>
    <x:row r="9" ht="15" hidden="0" customHeight="1">
      <x:c r="A9" s="88" t="n">
        <x:v>100</x:v>
      </x:c>
      <x:c r="B9" s="99" t="n">
        <x:f>A9*'Assumptions'!$B$5-A9*('Assumptions'!$B$5*'Assumptions'!$B$9+'Assumptions'!$B$10+0.5+'Assumptions'!$F$5+'Assumptions'!$G$5+'Assumptions'!$H$5)-IF(A9&lt;=10,'Assumptions'!$B$23,IF(A9&lt;=25,'Assumptions'!$C$23,IF(A9&lt;=50,'Assumptions'!$D$23,IF(A9&lt;=100,'Assumptions'!$E$23,'Assumptions'!$F$23))))-IF(A9&lt;=10,'Assumptions'!$B$26,IF(A9&lt;=25,'Assumptions'!$C$26,IF(A9&lt;=50,'Assumptions'!$D$26,IF(A9&lt;=100,'Assumptions'!$E$26,'Assumptions'!$F$26))))</x:f>
        <x:v>7170</x:v>
      </x:c>
      <x:c r="C9" s="99" t="n">
        <x:f>A9*'Assumptions'!$B$5-A9*('Assumptions'!$B$5*'Assumptions'!$B$9+'Assumptions'!$B$10+1.5+'Assumptions'!$F$5+'Assumptions'!$G$5+'Assumptions'!$H$5)-IF(A9&lt;=10,'Assumptions'!$B$23,IF(A9&lt;=25,'Assumptions'!$C$23,IF(A9&lt;=50,'Assumptions'!$D$23,IF(A9&lt;=100,'Assumptions'!$E$23,'Assumptions'!$F$23))))-IF(A9&lt;=10,'Assumptions'!$B$26,IF(A9&lt;=25,'Assumptions'!$C$26,IF(A9&lt;=50,'Assumptions'!$D$26,IF(A9&lt;=100,'Assumptions'!$E$26,'Assumptions'!$F$26))))</x:f>
        <x:v>7070</x:v>
      </x:c>
      <x:c r="D9" s="99" t="n">
        <x:f>A9*'Assumptions'!$B$5-A9*('Assumptions'!$B$5*'Assumptions'!$B$9+'Assumptions'!$B$10+3+'Assumptions'!$F$5+'Assumptions'!$G$5+'Assumptions'!$H$5)-IF(A9&lt;=10,'Assumptions'!$B$23,IF(A9&lt;=25,'Assumptions'!$C$23,IF(A9&lt;=50,'Assumptions'!$D$23,IF(A9&lt;=100,'Assumptions'!$E$23,'Assumptions'!$F$23))))-IF(A9&lt;=10,'Assumptions'!$B$26,IF(A9&lt;=25,'Assumptions'!$C$26,IF(A9&lt;=50,'Assumptions'!$D$26,IF(A9&lt;=100,'Assumptions'!$E$26,'Assumptions'!$F$26))))</x:f>
        <x:v>6920</x:v>
      </x:c>
      <x:c r="E9" s="99" t="n">
        <x:f>A9*'Assumptions'!$B$5-A9*('Assumptions'!$B$5*'Assumptions'!$B$9+'Assumptions'!$B$10+5+'Assumptions'!$F$5+'Assumptions'!$G$5+'Assumptions'!$H$5)-IF(A9&lt;=10,'Assumptions'!$B$23,IF(A9&lt;=25,'Assumptions'!$C$23,IF(A9&lt;=50,'Assumptions'!$D$23,IF(A9&lt;=100,'Assumptions'!$E$23,'Assumptions'!$F$23))))-IF(A9&lt;=10,'Assumptions'!$B$26,IF(A9&lt;=25,'Assumptions'!$C$26,IF(A9&lt;=50,'Assumptions'!$D$26,IF(A9&lt;=100,'Assumptions'!$E$26,'Assumptions'!$F$26))))</x:f>
        <x:v>6720</x:v>
      </x:c>
      <x:c r="F9" s="99" t="n">
        <x:f>IF(A9&lt;=10,'Assumptions'!$B$23+'Assumptions'!$B$26,IF(A9&lt;=25,'Assumptions'!$C$23+'Assumptions'!$C$26,IF(A9&lt;=50,'Assumptions'!$D$23+'Assumptions'!$D$26,IF(A9&lt;=100,'Assumptions'!$E$23+'Assumptions'!$E$26,'Assumptions'!$F$23+'Assumptions'!$F$26))))</x:f>
        <x:v>530</x:v>
      </x:c>
    </x:row>
    <x:row r="10" ht="15" hidden="0" customHeight="1">
      <x:c r="A10" s="88" t="n">
        <x:v>300</x:v>
      </x:c>
      <x:c r="B10" s="99" t="n">
        <x:f>A10*'Assumptions'!$B$5-A10*('Assumptions'!$B$5*'Assumptions'!$B$9+'Assumptions'!$B$10+0.5+'Assumptions'!$F$5+'Assumptions'!$G$5+'Assumptions'!$H$5)-IF(A10&lt;=10,'Assumptions'!$B$23,IF(A10&lt;=25,'Assumptions'!$C$23,IF(A10&lt;=50,'Assumptions'!$D$23,IF(A10&lt;=100,'Assumptions'!$E$23,'Assumptions'!$F$23))))-IF(A10&lt;=10,'Assumptions'!$B$26,IF(A10&lt;=25,'Assumptions'!$C$26,IF(A10&lt;=50,'Assumptions'!$D$26,IF(A10&lt;=100,'Assumptions'!$E$26,'Assumptions'!$F$26))))</x:f>
        <x:v>21900</x:v>
      </x:c>
      <x:c r="C10" s="99" t="n">
        <x:f>A10*'Assumptions'!$B$5-A10*('Assumptions'!$B$5*'Assumptions'!$B$9+'Assumptions'!$B$10+1.5+'Assumptions'!$F$5+'Assumptions'!$G$5+'Assumptions'!$H$5)-IF(A10&lt;=10,'Assumptions'!$B$23,IF(A10&lt;=25,'Assumptions'!$C$23,IF(A10&lt;=50,'Assumptions'!$D$23,IF(A10&lt;=100,'Assumptions'!$E$23,'Assumptions'!$F$23))))-IF(A10&lt;=10,'Assumptions'!$B$26,IF(A10&lt;=25,'Assumptions'!$C$26,IF(A10&lt;=50,'Assumptions'!$D$26,IF(A10&lt;=100,'Assumptions'!$E$26,'Assumptions'!$F$26))))</x:f>
        <x:v>21600</x:v>
      </x:c>
      <x:c r="D10" s="99" t="n">
        <x:f>A10*'Assumptions'!$B$5-A10*('Assumptions'!$B$5*'Assumptions'!$B$9+'Assumptions'!$B$10+3+'Assumptions'!$F$5+'Assumptions'!$G$5+'Assumptions'!$H$5)-IF(A10&lt;=10,'Assumptions'!$B$23,IF(A10&lt;=25,'Assumptions'!$C$23,IF(A10&lt;=50,'Assumptions'!$D$23,IF(A10&lt;=100,'Assumptions'!$E$23,'Assumptions'!$F$23))))-IF(A10&lt;=10,'Assumptions'!$B$26,IF(A10&lt;=25,'Assumptions'!$C$26,IF(A10&lt;=50,'Assumptions'!$D$26,IF(A10&lt;=100,'Assumptions'!$E$26,'Assumptions'!$F$26))))</x:f>
        <x:v>21150</x:v>
      </x:c>
      <x:c r="E10" s="99" t="n">
        <x:f>A10*'Assumptions'!$B$5-A10*('Assumptions'!$B$5*'Assumptions'!$B$9+'Assumptions'!$B$10+5+'Assumptions'!$F$5+'Assumptions'!$G$5+'Assumptions'!$H$5)-IF(A10&lt;=10,'Assumptions'!$B$23,IF(A10&lt;=25,'Assumptions'!$C$23,IF(A10&lt;=50,'Assumptions'!$D$23,IF(A10&lt;=100,'Assumptions'!$E$23,'Assumptions'!$F$23))))-IF(A10&lt;=10,'Assumptions'!$B$26,IF(A10&lt;=25,'Assumptions'!$C$26,IF(A10&lt;=50,'Assumptions'!$D$26,IF(A10&lt;=100,'Assumptions'!$E$26,'Assumptions'!$F$26))))</x:f>
        <x:v>20550</x:v>
      </x:c>
      <x:c r="F10" s="99" t="n">
        <x:f>IF(A10&lt;=10,'Assumptions'!$B$23+'Assumptions'!$B$26,IF(A10&lt;=25,'Assumptions'!$C$23+'Assumptions'!$C$26,IF(A10&lt;=50,'Assumptions'!$D$23+'Assumptions'!$D$26,IF(A10&lt;=100,'Assumptions'!$E$23+'Assumptions'!$E$26,'Assumptions'!$F$23+'Assumptions'!$F$26))))</x:f>
        <x:v>1200</x:v>
      </x:c>
    </x:row>
    <x:row r="11" ht="15" hidden="0" customHeight="1">
      <x:c r="A11" s="88"/>
      <x:c r="B11" s="88"/>
      <x:c r="C11" s="88"/>
      <x:c r="D11" s="88"/>
      <x:c r="E11" s="88"/>
      <x:c r="F11" s="88"/>
    </x:row>
    <x:row r="12" ht="36" hidden="0" customHeight="1">
      <x:c r="A12" s="82" t="str">
        <x:v>Risk test</x:v>
      </x:c>
      <x:c r="B12" s="83" t="str">
        <x:v>Base assumption</x:v>
      </x:c>
      <x:c r="C12" s="83" t="str">
        <x:v>Test assumption</x:v>
      </x:c>
      <x:c r="D12" s="84" t="str">
        <x:v>Expected impact</x:v>
      </x:c>
      <x:c r="E12" s="88"/>
      <x:c r="F12" s="88"/>
    </x:row>
    <x:row r="13" ht="60" hidden="0" customHeight="1">
      <x:c r="A13" s="94" t="str">
        <x:v>AI usage</x:v>
      </x:c>
      <x:c r="B13" s="94" t="str">
        <x:v>€1.50/client</x:v>
      </x:c>
      <x:c r="C13" s="94" t="str">
        <x:v>€5.00/client</x:v>
      </x:c>
      <x:c r="D13" s="94" t="str">
        <x:v>Lower contribution margin; see matrix above.</x:v>
      </x:c>
      <x:c r="E13" s="88"/>
      <x:c r="F13" s="88"/>
    </x:row>
    <x:row r="14" ht="72" hidden="0" customHeight="1">
      <x:c r="A14" s="94" t="str">
        <x:v>Infrastructure price</x:v>
      </x:c>
      <x:c r="B14" s="94" t="str">
        <x:v>Expected tier</x:v>
      </x:c>
      <x:c r="C14" s="94" t="str">
        <x:v>+25%</x:v>
      </x:c>
      <x:c r="D14" s="94" t="str">
        <x:v>Raises fixed-cost break-even; update step-cost inputs.</x:v>
      </x:c>
      <x:c r="E14" s="88"/>
      <x:c r="F14" s="88"/>
    </x:row>
    <x:row r="15" ht="84" hidden="0" customHeight="1">
      <x:c r="A15" s="94" t="str">
        <x:v>Larger uploads</x:v>
      </x:c>
      <x:c r="B15" s="94" t="str">
        <x:v>€0.70 storage/compute</x:v>
      </x:c>
      <x:c r="C15" s="94" t="str">
        <x:v>€2.00/client</x:v>
      </x:c>
      <x:c r="D15" s="94" t="str">
        <x:v>Raises direct cost and may trigger infrastructure steps earlier.</x:v>
      </x:c>
      <x:c r="E15" s="88"/>
      <x:c r="F15" s="88"/>
    </x:row>
    <x:row r="16" ht="60" hidden="0" customHeight="1">
      <x:c r="A16" s="94" t="str">
        <x:v>Churn</x:v>
      </x:c>
      <x:c r="B16" s="94" t="str">
        <x:v>2.5% monthly</x:v>
      </x:c>
      <x:c r="C16" s="94" t="str">
        <x:v>5.0% monthly</x:v>
      </x:c>
      <x:c r="D16" s="94" t="str">
        <x:v>Reduces closing clients, revenue and LTV.</x:v>
      </x:c>
      <x:c r="E16" s="88"/>
      <x:c r="F16" s="88"/>
    </x:row>
    <x:row r="17" ht="48" hidden="0" customHeight="1">
      <x:c r="A17" s="94" t="str">
        <x:v>Stripe/payment mix</x:v>
      </x:c>
      <x:c r="B17" s="94" t="str">
        <x:v>EEA card</x:v>
      </x:c>
      <x:c r="C17" s="94" t="str">
        <x:v>More premium/international cards</x:v>
      </x:c>
      <x:c r="D17" s="94" t="str">
        <x:v>Raises payment processing fees.</x:v>
      </x:c>
      <x:c r="E17" s="88"/>
      <x:c r="F17" s="88"/>
    </x:row>
    <x:row r="18" ht="60" hidden="0" customHeight="1">
      <x:c r="A18" s="94" t="str">
        <x:v>Annual discount</x:v>
      </x:c>
      <x:c r="B18" s="94" t="str">
        <x:v>None</x:v>
      </x:c>
      <x:c r="C18" s="94" t="str">
        <x:v>One month free</x:v>
      </x:c>
      <x:c r="D18" s="94" t="str">
        <x:v>Reduces effective revenue per client by 8.3%.</x:v>
      </x:c>
      <x:c r="E18" s="88"/>
      <x:c r="F18" s="88"/>
    </x:row>
    <x:row r="19" ht="72" hidden="0" customHeight="1">
      <x:c r="A19" s="94" t="str">
        <x:v>Report generation</x:v>
      </x:c>
      <x:c r="B19" s="94" t="str">
        <x:v>€0.10/client</x:v>
      </x:c>
      <x:c r="C19" s="94" t="str">
        <x:v>€0.50/client</x:v>
      </x:c>
      <x:c r="D19" s="94" t="str">
        <x:v>Small at low scale; material only with higher usage.</x:v>
      </x:c>
      <x:c r="E19" s="88"/>
      <x:c r="F19" s="88"/>
    </x:row>
  </x:sheetData>
  <x:mergeCells>
    <x:mergeCell ref="A1:H1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.889999866485596" hidden="0" customWidth="1"/>
    <x:col min="3" max="3" width="7.110000133514404" hidden="0" customWidth="1"/>
    <x:col min="4" max="4" width="7.78000020980835" hidden="0" customWidth="1"/>
    <x:col min="5" max="5" width="7.440000057220459" hidden="0" customWidth="1"/>
    <x:col min="6" max="6" width="5" hidden="0" customWidth="1"/>
    <x:col min="7" max="7" width="28" hidden="0" customWidth="1"/>
  </x:cols>
  <x:sheetData>
    <x:row r="1" ht="19.200000762939453" hidden="0" customHeight="1">
      <x:c r="A1" s="165" t="str">
        <x:v>Model Checks</x:v>
      </x:c>
      <x:c r="B1" s="166"/>
      <x:c r="C1" s="166"/>
      <x:c r="D1" s="166"/>
      <x:c r="E1" s="166"/>
      <x:c r="F1" s="166"/>
      <x:c r="G1" s="166"/>
    </x:row>
    <x:row r="2" ht="15" hidden="0" customHeight="1">
      <x:c r="A2" s="88"/>
      <x:c r="B2" s="88"/>
      <x:c r="C2" s="88"/>
      <x:c r="D2" s="88"/>
      <x:c r="E2" s="88"/>
      <x:c r="F2" s="88"/>
      <x:c r="G2" s="88"/>
    </x:row>
    <x:row r="3" ht="24" hidden="0" customHeight="1">
      <x:c r="A3" s="82" t="str">
        <x:v>Check</x:v>
      </x:c>
      <x:c r="B3" s="83" t="str">
        <x:v>Actual</x:v>
      </x:c>
      <x:c r="C3" s="83" t="str">
        <x:v>Expected</x:v>
      </x:c>
      <x:c r="D3" s="83" t="str">
        <x:v>Difference</x:v>
      </x:c>
      <x:c r="E3" s="83" t="str">
        <x:v>Tolerance</x:v>
      </x:c>
      <x:c r="F3" s="83" t="str">
        <x:v>Status</x:v>
      </x:c>
      <x:c r="G3" s="84" t="str">
        <x:v>Where to fix</x:v>
      </x:c>
    </x:row>
    <x:row r="4" ht="15" hidden="0" customHeight="1">
      <x:c r="A4" s="88" t="str">
        <x:v>Subscription price is €80</x:v>
      </x:c>
      <x:c r="B4" s="163" t="n">
        <x:f>'Assumptions'!$B$5</x:f>
        <x:v>80</x:v>
      </x:c>
      <x:c r="C4" s="163" t="n">
        <x:f>80</x:f>
        <x:v>80</x:v>
      </x:c>
      <x:c r="D4" s="163" t="n">
        <x:f>B4-C4</x:f>
        <x:v>0</x:v>
      </x:c>
      <x:c r="E4" s="163" t="n">
        <x:f>0</x:f>
        <x:v>0</x:v>
      </x:c>
      <x:c r="F4" s="88" t="str">
        <x:f>IF(ABS(D4)&lt;=E4,"OK","FAIL")</x:f>
        <x:v>OK</x:v>
      </x:c>
      <x:c r="G4" s="88" t="str">
        <x:v>Assumptions!B4:B6</x:v>
      </x:c>
    </x:row>
    <x:row r="5" ht="15" hidden="0" customHeight="1">
      <x:c r="A5" s="88" t="str">
        <x:v>Expected scenario M12 roll-forward</x:v>
      </x:c>
      <x:c r="B5" s="163" t="n">
        <x:f>'12M Forecast'!F26</x:f>
        <x:v>49</x:v>
      </x:c>
      <x:c r="C5" s="163" t="n">
        <x:f>'12M Forecast'!C26+'12M Forecast'!D26-'12M Forecast'!E26</x:f>
        <x:v>49</x:v>
      </x:c>
      <x:c r="D5" s="163" t="n">
        <x:f>B5-C5</x:f>
        <x:v>0</x:v>
      </x:c>
      <x:c r="E5" s="163" t="n">
        <x:f>0</x:f>
        <x:v>0</x:v>
      </x:c>
      <x:c r="F5" s="88" t="str">
        <x:f>IF(ABS(D5)&lt;=E5,"OK","FAIL")</x:f>
        <x:v>OK</x:v>
      </x:c>
      <x:c r="G5" s="88" t="str">
        <x:v>12M Forecast!C26:F26</x:v>
      </x:c>
    </x:row>
    <x:row r="6" ht="15" hidden="0" customHeight="1">
      <x:c r="A6" s="88" t="str">
        <x:v>Expected 12M cumulative cash ties</x:v>
      </x:c>
      <x:c r="B6" s="163" t="n">
        <x:f>'12M Forecast'!P26</x:f>
        <x:v>9676</x:v>
      </x:c>
      <x:c r="C6" s="163" t="n">
        <x:f>SUM('12M Forecast'!O15:O26)+'Assumptions'!$B$13</x:f>
        <x:v>9676</x:v>
      </x:c>
      <x:c r="D6" s="163" t="n">
        <x:f>B6-C6</x:f>
        <x:v>0</x:v>
      </x:c>
      <x:c r="E6" s="163" t="n">
        <x:f>0.01</x:f>
        <x:v>0.01</x:v>
      </x:c>
      <x:c r="F6" s="88" t="str">
        <x:f>IF(ABS(D6)&lt;=E6,"OK","FAIL")</x:f>
        <x:v>OK</x:v>
      </x:c>
      <x:c r="G6" s="88" t="str">
        <x:v>12M Forecast!O15:P26</x:v>
      </x:c>
    </x:row>
    <x:row r="7" ht="15" hidden="0" customHeight="1">
      <x:c r="A7" s="88" t="str">
        <x:v>Expected 50-client revenue</x:v>
      </x:c>
      <x:c r="B7" s="163" t="n">
        <x:f>'Client Scenarios'!C14</x:f>
        <x:v>4000</x:v>
      </x:c>
      <x:c r="C7" s="163" t="n">
        <x:f>50*'Assumptions'!$B$5</x:f>
        <x:v>4000</x:v>
      </x:c>
      <x:c r="D7" s="163" t="n">
        <x:f>B7-C7</x:f>
        <x:v>0</x:v>
      </x:c>
      <x:c r="E7" s="163" t="n">
        <x:f>0.01</x:f>
        <x:v>0.01</x:v>
      </x:c>
      <x:c r="F7" s="88" t="str">
        <x:f>IF(ABS(D7)&lt;=E7,"OK","FAIL")</x:f>
        <x:v>OK</x:v>
      </x:c>
      <x:c r="G7" s="88" t="str">
        <x:v>Client Scenarios!B14:C14</x:v>
      </x:c>
    </x:row>
    <x:row r="8" ht="15" hidden="0" customHeight="1">
      <x:c r="A8" s="88" t="str">
        <x:v>Expected 50-client total cost components</x:v>
      </x:c>
      <x:c r="B8" s="163" t="n">
        <x:f>'Client Scenarios'!I14</x:f>
        <x:v>490</x:v>
      </x:c>
      <x:c r="C8" s="163" t="n">
        <x:f>SUM('Client Scenarios'!E14:H14)</x:f>
        <x:v>490</x:v>
      </x:c>
      <x:c r="D8" s="163" t="n">
        <x:f>B8-C8</x:f>
        <x:v>0</x:v>
      </x:c>
      <x:c r="E8" s="163" t="n">
        <x:f>0.01</x:f>
        <x:v>0.01</x:v>
      </x:c>
      <x:c r="F8" s="88" t="str">
        <x:f>IF(ABS(D8)&lt;=E8,"OK","FAIL")</x:f>
        <x:v>OK</x:v>
      </x:c>
      <x:c r="G8" s="88" t="str">
        <x:v>Client Scenarios!E14:I14</x:v>
      </x:c>
    </x:row>
    <x:row r="9" ht="15" hidden="0" customHeight="1">
      <x:c r="A9" s="88" t="str">
        <x:v>Expected scenario has non-negative clients</x:v>
      </x:c>
      <x:c r="B9" s="163" t="n">
        <x:f>MIN('12M Forecast'!F15:F26)</x:f>
        <x:v>2</x:v>
      </x:c>
      <x:c r="C9" s="163" t="n">
        <x:f>0</x:f>
        <x:v>0</x:v>
      </x:c>
      <x:c r="D9" s="163" t="n">
        <x:f>MIN(0,B9)</x:f>
        <x:v>0</x:v>
      </x:c>
      <x:c r="E9" s="163" t="n">
        <x:f>0</x:f>
        <x:v>0</x:v>
      </x:c>
      <x:c r="F9" s="88" t="str">
        <x:f>IF(ABS(D9)&lt;=E9,"OK","FAIL")</x:f>
        <x:v>OK</x:v>
      </x:c>
      <x:c r="G9" s="88" t="str">
        <x:v>12M Forecast!F15:F26</x:v>
      </x:c>
    </x:row>
    <x:row r="10" ht="15" hidden="0" customHeight="1">
      <x:c r="A10" s="88" t="str">
        <x:v>All required assumptions populated</x:v>
      </x:c>
      <x:c r="B10" s="163" t="n">
        <x:f>COUNT('Assumptions'!B4:H6)</x:f>
        <x:v>21</x:v>
      </x:c>
      <x:c r="C10" s="163" t="n">
        <x:f>21</x:f>
        <x:v>21</x:v>
      </x:c>
      <x:c r="D10" s="163" t="n">
        <x:f>B10-C10</x:f>
        <x:v>0</x:v>
      </x:c>
      <x:c r="E10" s="163" t="n">
        <x:f>0</x:f>
        <x:v>0</x:v>
      </x:c>
      <x:c r="F10" s="88" t="str">
        <x:f>IF(ABS(D10)&lt;=E10,"OK","FAIL")</x:f>
        <x:v>OK</x:v>
      </x:c>
      <x:c r="G10" s="88" t="str">
        <x:v>Assumptions!B4:H6</x:v>
      </x:c>
    </x:row>
    <x:row r="11" ht="15" hidden="0" customHeight="1">
      <x:c r="A11" s="88"/>
      <x:c r="B11" s="88"/>
      <x:c r="C11" s="88"/>
      <x:c r="D11" s="88"/>
      <x:c r="E11" s="88"/>
      <x:c r="F11" s="88"/>
      <x:c r="G11" s="88"/>
    </x:row>
    <x:row r="12" ht="15" hidden="0" customHeight="1">
      <x:c r="A12" s="164" t="str">
        <x:v>MODEL STATUS</x:v>
      </x:c>
      <x:c r="B12" s="164" t="str">
        <x:f>IF(COUNTIF(F4:F10,"FAIL")=0,"PASS","FAIL")</x:f>
        <x:v>PASS</x:v>
      </x:c>
      <x:c r="C12" s="88"/>
      <x:c r="D12" s="88"/>
      <x:c r="E12" s="88"/>
      <x:c r="F12" s="88"/>
      <x:c r="G12" s="88"/>
    </x:row>
  </x:sheetData>
  <x:mergeCells>
    <x:mergeCell ref="A1:G1"/>
  </x:mergeCells>
  <x:conditionalFormatting sqref="F4:F10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.440000057220459" hidden="0" customWidth="1"/>
    <x:col min="3" max="3" width="15.220000267028809" hidden="0" customWidth="1"/>
    <x:col min="4" max="4" width="8.109999656677246" hidden="0" customWidth="1"/>
    <x:col min="5" max="5" width="14.779999732971191" hidden="0" customWidth="1"/>
    <x:col min="6" max="6" width="24" hidden="0" customWidth="1"/>
    <x:col min="7" max="7" width="55" hidden="0" customWidth="1"/>
    <x:col min="8" max="8" width="45" hidden="0" customWidth="1"/>
  </x:cols>
  <x:sheetData>
    <x:row r="1" ht="19.200000762939453" hidden="0" customHeight="1">
      <x:c r="A1" s="165" t="str">
        <x:v>Sources and Audit Trail</x:v>
      </x:c>
      <x:c r="B1" s="166"/>
      <x:c r="C1" s="166"/>
      <x:c r="D1" s="166"/>
      <x:c r="E1" s="166"/>
      <x:c r="F1" s="166"/>
      <x:c r="G1" s="166"/>
      <x:c r="H1" s="166"/>
    </x:row>
    <x:row r="2" ht="15" hidden="0" customHeight="1">
      <x:c r="A2" s="88"/>
      <x:c r="B2" s="88"/>
      <x:c r="C2" s="88"/>
      <x:c r="D2" s="88"/>
      <x:c r="E2" s="88"/>
      <x:c r="F2" s="88"/>
      <x:c r="G2" s="88"/>
      <x:c r="H2" s="88"/>
    </x:row>
    <x:row r="3" ht="24" hidden="0" customHeight="1">
      <x:c r="A3" s="82" t="str">
        <x:v>Item</x:v>
      </x:c>
      <x:c r="B3" s="83" t="str">
        <x:v>Value</x:v>
      </x:c>
      <x:c r="C3" s="83" t="str">
        <x:v>Units</x:v>
      </x:c>
      <x:c r="D3" s="83" t="str">
        <x:v>As of</x:v>
      </x:c>
      <x:c r="E3" s="83" t="str">
        <x:v>Source type</x:v>
      </x:c>
      <x:c r="F3" s="83" t="str">
        <x:v>Source</x:v>
      </x:c>
      <x:c r="G3" s="83" t="str">
        <x:v>URL</x:v>
      </x:c>
      <x:c r="H3" s="84" t="str">
        <x:v>Notes</x:v>
      </x:c>
    </x:row>
    <x:row r="4" ht="15" hidden="0" customHeight="1">
      <x:c r="A4" s="94" t="str">
        <x:v>Subscription price</x:v>
      </x:c>
      <x:c r="B4" s="168" t="n">
        <x:v>80</x:v>
      </x:c>
      <x:c r="C4" s="94" t="str">
        <x:v>EUR/client/month</x:v>
      </x:c>
      <x:c r="D4" s="94" t="str">
        <x:v>2026-07-30</x:v>
      </x:c>
      <x:c r="E4" s="94" t="str">
        <x:v>Governance decision</x:v>
      </x:c>
      <x:c r="F4" s="94" t="str">
        <x:v>BD-005 / 12_Decision_Register.md</x:v>
      </x:c>
      <x:c r="G4" s="94" t="str">
        <x:v>https://github.com/ruizmielesmauricio/AI_Operations_Platform/blob/main/docs/governance/12_Decision_Register.md</x:v>
      </x:c>
      <x:c r="H4" s="94" t="str">
        <x:v>Accepted current price.</x:v>
      </x:c>
    </x:row>
    <x:row r="5" ht="15" hidden="0" customHeight="1">
      <x:c r="A5" s="94" t="str">
        <x:v>Stripe EEA card variable fee</x:v>
      </x:c>
      <x:c r="B5" s="168" t="n">
        <x:v>0.015</x:v>
      </x:c>
      <x:c r="C5" s="94" t="str">
        <x:v>% of payment</x:v>
      </x:c>
      <x:c r="D5" s="94" t="str">
        <x:v>2026-07-30</x:v>
      </x:c>
      <x:c r="E5" s="94" t="str">
        <x:v>Official vendor pricing</x:v>
      </x:c>
      <x:c r="F5" s="94" t="str">
        <x:v>Stripe Ireland</x:v>
      </x:c>
      <x:c r="G5" s="94" t="str">
        <x:v>https://stripe.com/ie/pricing</x:v>
      </x:c>
      <x:c r="H5" s="94" t="str">
        <x:v>Standard EEA cards.</x:v>
      </x:c>
    </x:row>
    <x:row r="6" ht="15" hidden="0" customHeight="1">
      <x:c r="A6" s="94" t="str">
        <x:v>Stripe EEA card fixed fee</x:v>
      </x:c>
      <x:c r="B6" s="168" t="n">
        <x:v>0.25</x:v>
      </x:c>
      <x:c r="C6" s="94" t="str">
        <x:v>EUR/payment</x:v>
      </x:c>
      <x:c r="D6" s="94" t="str">
        <x:v>2026-07-30</x:v>
      </x:c>
      <x:c r="E6" s="94" t="str">
        <x:v>Official vendor pricing</x:v>
      </x:c>
      <x:c r="F6" s="94" t="str">
        <x:v>Stripe Ireland</x:v>
      </x:c>
      <x:c r="G6" s="94" t="str">
        <x:v>https://stripe.com/ie/pricing</x:v>
      </x:c>
      <x:c r="H6" s="94" t="str">
        <x:v>Standard EEA cards.</x:v>
      </x:c>
    </x:row>
    <x:row r="7" ht="15" hidden="0" customHeight="1">
      <x:c r="A7" s="94" t="str">
        <x:v>Stripe SEPA fee</x:v>
      </x:c>
      <x:c r="B7" s="168" t="n">
        <x:v>0.35</x:v>
      </x:c>
      <x:c r="C7" s="94" t="str">
        <x:v>EUR/payment</x:v>
      </x:c>
      <x:c r="D7" s="94" t="str">
        <x:v>2026-07-30</x:v>
      </x:c>
      <x:c r="E7" s="94" t="str">
        <x:v>Official vendor pricing</x:v>
      </x:c>
      <x:c r="F7" s="94" t="str">
        <x:v>Stripe Ireland</x:v>
      </x:c>
      <x:c r="G7" s="94" t="str">
        <x:v>https://stripe.com/ie/pricing</x:v>
      </x:c>
      <x:c r="H7" s="94" t="str">
        <x:v>Potential lower-cost alternative; not used in base model.</x:v>
      </x:c>
    </x:row>
    <x:row r="8" ht="15" hidden="0" customHeight="1">
      <x:c r="A8" s="94" t="str">
        <x:v>Cloudflare R2 standard storage</x:v>
      </x:c>
      <x:c r="B8" s="168" t="n">
        <x:v>0.015</x:v>
      </x:c>
      <x:c r="C8" s="94" t="str">
        <x:v>USD/GB-month</x:v>
      </x:c>
      <x:c r="D8" s="94" t="str">
        <x:v>2026-05-28</x:v>
      </x:c>
      <x:c r="E8" s="94" t="str">
        <x:v>Official vendor pricing</x:v>
      </x:c>
      <x:c r="F8" s="94" t="str">
        <x:v>Cloudflare R2</x:v>
      </x:c>
      <x:c r="G8" s="94" t="str">
        <x:v>https://developers.cloudflare.com/r2/pricing/</x:v>
      </x:c>
      <x:c r="H8" s="94" t="str">
        <x:v>10 GB-month free tier; egress free. Base model uses broader per-client processing assumption.</x:v>
      </x:c>
    </x:row>
    <x:row r="9" ht="15" hidden="0" customHeight="1">
      <x:c r="A9" s="94" t="str">
        <x:v>Sentry Developer</x:v>
      </x:c>
      <x:c r="B9" s="168" t="n">
        <x:v>0</x:v>
      </x:c>
      <x:c r="C9" s="94" t="str">
        <x:v>USD/month</x:v>
      </x:c>
      <x:c r="D9" s="94" t="str">
        <x:v>2026-07-30</x:v>
      </x:c>
      <x:c r="E9" s="94" t="str">
        <x:v>Official vendor pricing</x:v>
      </x:c>
      <x:c r="F9" s="94" t="str">
        <x:v>Sentry</x:v>
      </x:c>
      <x:c r="G9" s="94" t="str">
        <x:v>https://sentry.io/pricing/</x:v>
      </x:c>
      <x:c r="H9" s="94" t="str">
        <x:v>Developer tier is $0; Team is $26/month.</x:v>
      </x:c>
    </x:row>
    <x:row r="10" ht="15" hidden="0" customHeight="1">
      <x:c r="A10" s="94" t="str">
        <x:v>Neon</x:v>
      </x:c>
      <x:c r="B10" s="168" t="n">
        <x:v>15</x:v>
      </x:c>
      <x:c r="C10" s="94" t="str">
        <x:v>USD/month typical</x:v>
      </x:c>
      <x:c r="D10" s="94" t="str">
        <x:v>2026-07-30</x:v>
      </x:c>
      <x:c r="E10" s="94" t="str">
        <x:v>Official vendor pricing</x:v>
      </x:c>
      <x:c r="F10" s="94" t="str">
        <x:v>Neon</x:v>
      </x:c>
      <x:c r="G10" s="94" t="str">
        <x:v>https://neon.com/pricing</x:v>
      </x:c>
      <x:c r="H10" s="94" t="str">
        <x:v>Official page states free tier and typical spend around $15/month; step-cost model remains an estimate.</x:v>
      </x:c>
    </x:row>
    <x:row r="11" ht="15" hidden="0" customHeight="1">
      <x:c r="A11" s="94" t="str">
        <x:v>Resend</x:v>
      </x:c>
      <x:c r="B11" s="168" t="n">
        <x:v>0</x:v>
      </x:c>
      <x:c r="C11" s="94" t="str">
        <x:v>USD/month at free tier</x:v>
      </x:c>
      <x:c r="D11" s="94" t="str">
        <x:v>2026-07-30</x:v>
      </x:c>
      <x:c r="E11" s="94" t="str">
        <x:v>Official vendor pricing</x:v>
      </x:c>
      <x:c r="F11" s="94" t="str">
        <x:v>Resend</x:v>
      </x:c>
      <x:c r="G11" s="94" t="str">
        <x:v>https://resend.com/pricing</x:v>
      </x:c>
      <x:c r="H11" s="94" t="str">
        <x:v>Free tier exists; model retains a per-client allowance for reporting growth.</x:v>
      </x:c>
    </x:row>
    <x:row r="12" ht="15" hidden="0" customHeight="1">
      <x:c r="A12" s="94"/>
      <x:c r="B12" s="94"/>
      <x:c r="C12" s="94"/>
      <x:c r="D12" s="94"/>
      <x:c r="E12" s="94"/>
      <x:c r="F12" s="94"/>
      <x:c r="G12" s="94"/>
      <x:c r="H12" s="94"/>
    </x:row>
    <x:row r="13" ht="15" hidden="0" customHeight="1">
      <x:c r="A13" s="94" t="str">
        <x:v>Planning assumptions</x:v>
      </x:c>
      <x:c r="B13" s="94"/>
      <x:c r="C13" s="94"/>
      <x:c r="D13" s="94"/>
      <x:c r="E13" s="94"/>
      <x:c r="F13" s="94"/>
      <x:c r="G13" s="94"/>
      <x:c r="H13" s="94" t="str">
        <x:v>AI, storage/compute, support, CAC, churn, business overhead and growth rates are editable assumptions pending pilot actuals.</x:v>
      </x:c>
    </x:row>
    <x:row r="14" ht="15" hidden="0" customHeight="1">
      <x:c r="A14" s="94" t="str">
        <x:v>Tax treatment</x:v>
      </x:c>
      <x:c r="B14" s="94"/>
      <x:c r="C14" s="94"/>
      <x:c r="D14" s="94"/>
      <x:c r="E14" s="94"/>
      <x:c r="F14" s="94"/>
      <x:c r="G14" s="94"/>
      <x:c r="H14" s="94" t="str">
        <x:v>Corporation tax, VAT, founder payroll taxes and personal taxes are excluded pending professional advice.</x:v>
      </x:c>
    </x:row>
    <x:row r="15" ht="15" hidden="0" customHeight="1">
      <x:c r="A15" s="94" t="str">
        <x:v>Version history</x:v>
      </x:c>
      <x:c r="B15" s="94" t="str">
        <x:v>1.0</x:v>
      </x:c>
      <x:c r="C15" s="94"/>
      <x:c r="D15" s="94" t="str">
        <x:v>2026-07-30</x:v>
      </x:c>
      <x:c r="E15" s="94" t="str">
        <x:v>Model</x:v>
      </x:c>
      <x:c r="F15" s="94" t="str">
        <x:v>Initial financial forecast</x:v>
      </x:c>
      <x:c r="G15" s="94"/>
      <x:c r="H15" s="94" t="str">
        <x:v>Created for governance Change 7.</x:v>
      </x:c>
    </x:row>
  </x:sheetData>
  <x:mergeCells>
    <x:mergeCell ref="A1:H1"/>
  </x:mergeCells>
  <x:pageMargins left="0.7" right="0.7" top="0.75" bottom="0.75" header="0.3" footer="0.3"/>
</x:worksheet>
</file>